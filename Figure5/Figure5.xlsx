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indner/Desktop/"/>
    </mc:Choice>
  </mc:AlternateContent>
  <xr:revisionPtr revIDLastSave="0" documentId="13_ncr:1_{9CF3C720-8C14-654C-B073-ED2F129684E5}" xr6:coauthVersionLast="47" xr6:coauthVersionMax="47" xr10:uidLastSave="{00000000-0000-0000-0000-000000000000}"/>
  <bookViews>
    <workbookView xWindow="14660" yWindow="500" windowWidth="10940" windowHeight="13700" xr2:uid="{00000000-000D-0000-FFFF-FFFF00000000}"/>
  </bookViews>
  <sheets>
    <sheet name="OCT_proline" sheetId="11" r:id="rId1"/>
    <sheet name="OCT_h2co2" sheetId="17" r:id="rId2"/>
    <sheet name="PYRU_h2co2" sheetId="12" r:id="rId3"/>
    <sheet name="electron_carrier_balance_h2ase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14" l="1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3" i="14"/>
  <c r="R4" i="14"/>
  <c r="S4" i="14"/>
  <c r="T4" i="14"/>
  <c r="R5" i="14"/>
  <c r="V5" i="14" s="1"/>
  <c r="S5" i="14"/>
  <c r="T5" i="14"/>
  <c r="R6" i="14"/>
  <c r="V6" i="14" s="1"/>
  <c r="S6" i="14"/>
  <c r="T6" i="14"/>
  <c r="R7" i="14"/>
  <c r="V7" i="14" s="1"/>
  <c r="S7" i="14"/>
  <c r="T7" i="14"/>
  <c r="R8" i="14"/>
  <c r="S8" i="14"/>
  <c r="T8" i="14"/>
  <c r="R9" i="14"/>
  <c r="S9" i="14"/>
  <c r="T9" i="14"/>
  <c r="R10" i="14"/>
  <c r="S10" i="14"/>
  <c r="T10" i="14"/>
  <c r="R11" i="14"/>
  <c r="S11" i="14"/>
  <c r="T11" i="14"/>
  <c r="R12" i="14"/>
  <c r="S12" i="14"/>
  <c r="T12" i="14"/>
  <c r="R13" i="14"/>
  <c r="S13" i="14"/>
  <c r="T13" i="14"/>
  <c r="R14" i="14"/>
  <c r="S14" i="14"/>
  <c r="T14" i="14"/>
  <c r="R15" i="14"/>
  <c r="S15" i="14"/>
  <c r="T15" i="14"/>
  <c r="R16" i="14"/>
  <c r="S16" i="14"/>
  <c r="T16" i="14"/>
  <c r="R17" i="14"/>
  <c r="S17" i="14"/>
  <c r="T17" i="14"/>
  <c r="T3" i="14"/>
  <c r="S3" i="14"/>
  <c r="R3" i="14"/>
  <c r="Q4" i="14"/>
  <c r="V4" i="14" s="1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3" i="14"/>
  <c r="M4" i="14"/>
  <c r="M5" i="14"/>
  <c r="U5" i="14" s="1"/>
  <c r="W5" i="14" s="1"/>
  <c r="M6" i="14"/>
  <c r="U6" i="14" s="1"/>
  <c r="W6" i="14" s="1"/>
  <c r="M7" i="14"/>
  <c r="U7" i="14" s="1"/>
  <c r="W7" i="14" s="1"/>
  <c r="M8" i="14"/>
  <c r="U8" i="14" s="1"/>
  <c r="W8" i="14" s="1"/>
  <c r="M9" i="14"/>
  <c r="U9" i="14" s="1"/>
  <c r="W9" i="14" s="1"/>
  <c r="M10" i="14"/>
  <c r="U10" i="14" s="1"/>
  <c r="W10" i="14" s="1"/>
  <c r="M11" i="14"/>
  <c r="U11" i="14" s="1"/>
  <c r="W11" i="14" s="1"/>
  <c r="M12" i="14"/>
  <c r="U12" i="14" s="1"/>
  <c r="W12" i="14" s="1"/>
  <c r="M13" i="14"/>
  <c r="U13" i="14" s="1"/>
  <c r="W13" i="14" s="1"/>
  <c r="M14" i="14"/>
  <c r="U14" i="14" s="1"/>
  <c r="W14" i="14" s="1"/>
  <c r="M15" i="14"/>
  <c r="U15" i="14" s="1"/>
  <c r="W15" i="14" s="1"/>
  <c r="M16" i="14"/>
  <c r="U16" i="14" s="1"/>
  <c r="W16" i="14" s="1"/>
  <c r="M17" i="14"/>
  <c r="U17" i="14" s="1"/>
  <c r="W17" i="14" s="1"/>
  <c r="M3" i="14"/>
  <c r="U3" i="14" s="1"/>
  <c r="W3" i="14" s="1"/>
  <c r="S56" i="12"/>
  <c r="S57" i="12"/>
  <c r="S58" i="12"/>
  <c r="S59" i="12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2" i="17"/>
  <c r="S18" i="12"/>
  <c r="S3" i="12"/>
  <c r="S4" i="12"/>
  <c r="S5" i="12"/>
  <c r="S6" i="12"/>
  <c r="S7" i="12"/>
  <c r="S8" i="12"/>
  <c r="S9" i="12"/>
  <c r="S10" i="12"/>
  <c r="S11" i="12"/>
  <c r="S12" i="12"/>
  <c r="S13" i="12"/>
  <c r="S19" i="12"/>
  <c r="S20" i="12"/>
  <c r="S21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2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29" i="12"/>
  <c r="G28" i="12"/>
  <c r="G27" i="12"/>
  <c r="G26" i="12"/>
  <c r="G21" i="12"/>
  <c r="G20" i="12"/>
  <c r="G19" i="12"/>
  <c r="G18" i="12"/>
  <c r="G13" i="12"/>
  <c r="G12" i="12"/>
  <c r="G11" i="12"/>
  <c r="G10" i="12"/>
  <c r="G9" i="12"/>
  <c r="G8" i="12"/>
  <c r="G7" i="12"/>
  <c r="G6" i="12"/>
  <c r="G5" i="12"/>
  <c r="G4" i="12"/>
  <c r="G3" i="12"/>
  <c r="G2" i="12"/>
  <c r="V8" i="14" l="1"/>
  <c r="V9" i="14"/>
  <c r="V10" i="14"/>
  <c r="V11" i="14"/>
  <c r="V12" i="14"/>
  <c r="V13" i="14"/>
  <c r="V14" i="14"/>
  <c r="V15" i="14"/>
  <c r="V16" i="14"/>
  <c r="V17" i="14"/>
  <c r="X17" i="14" s="1"/>
  <c r="Y17" i="14" s="1"/>
  <c r="V3" i="14"/>
  <c r="U4" i="14"/>
  <c r="W4" i="14" s="1"/>
  <c r="X4" i="14"/>
  <c r="Y4" i="14" s="1"/>
  <c r="X5" i="14"/>
  <c r="Y5" i="14" s="1"/>
  <c r="X6" i="14"/>
  <c r="Y6" i="14" s="1"/>
  <c r="X7" i="14"/>
  <c r="Y7" i="14" s="1"/>
  <c r="X8" i="14"/>
  <c r="Y8" i="14" s="1"/>
  <c r="X9" i="14"/>
  <c r="Y9" i="14" s="1"/>
  <c r="X10" i="14"/>
  <c r="Y10" i="14" s="1"/>
  <c r="X11" i="14"/>
  <c r="Y11" i="14" s="1"/>
  <c r="X12" i="14"/>
  <c r="Y12" i="14" s="1"/>
  <c r="X13" i="14"/>
  <c r="Y13" i="14" s="1"/>
  <c r="X14" i="14"/>
  <c r="Y14" i="14" s="1"/>
  <c r="X15" i="14"/>
  <c r="Y15" i="14" s="1"/>
  <c r="X16" i="14"/>
  <c r="Y16" i="14" s="1"/>
  <c r="X3" i="14"/>
  <c r="Y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tc={D48E59C3-05C8-B542-8A03-63791F559390}</author>
  </authors>
  <commentList>
    <comment ref="R50" authorId="0" shapeId="0" xr:uid="{D48E59C3-05C8-B542-8A03-63791F55939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empty cells in the LDH assay indicate the data were incorrect (human error), so I didn't include them in this sheet.
The empty cells in PYRU H2CO2 data indicates that they were not quantified because there was no growth during that time points (48h, 72h)</t>
      </text>
    </comment>
  </commentList>
</comments>
</file>

<file path=xl/sharedStrings.xml><?xml version="1.0" encoding="utf-8"?>
<sst xmlns="http://schemas.openxmlformats.org/spreadsheetml/2006/main" count="3892" uniqueCount="81">
  <si>
    <t>OD600</t>
  </si>
  <si>
    <t>pH</t>
  </si>
  <si>
    <t>Strain</t>
  </si>
  <si>
    <t>Condition</t>
  </si>
  <si>
    <t>Replicate</t>
  </si>
  <si>
    <t>psi</t>
  </si>
  <si>
    <t>A</t>
  </si>
  <si>
    <t>B</t>
  </si>
  <si>
    <t>C</t>
  </si>
  <si>
    <t>D</t>
  </si>
  <si>
    <t>Lactate RID</t>
  </si>
  <si>
    <t>C2</t>
  </si>
  <si>
    <t>C3</t>
  </si>
  <si>
    <t>Pressurized</t>
  </si>
  <si>
    <t>Released</t>
  </si>
  <si>
    <t>OCT</t>
  </si>
  <si>
    <t>Time</t>
  </si>
  <si>
    <t>kpa</t>
  </si>
  <si>
    <t>NH4</t>
  </si>
  <si>
    <t>Media</t>
  </si>
  <si>
    <t>Handling</t>
  </si>
  <si>
    <t>Unit</t>
  </si>
  <si>
    <t>Hour</t>
  </si>
  <si>
    <t>Value</t>
  </si>
  <si>
    <t>PSI</t>
  </si>
  <si>
    <t>Acetate RID</t>
  </si>
  <si>
    <t>EA_ED</t>
  </si>
  <si>
    <t>pH_diff</t>
  </si>
  <si>
    <t>Formate RID</t>
  </si>
  <si>
    <t>NaN</t>
  </si>
  <si>
    <t>Acetate GCMS</t>
  </si>
  <si>
    <t>C4i</t>
  </si>
  <si>
    <t>C4n</t>
  </si>
  <si>
    <t>C5i</t>
  </si>
  <si>
    <t>C5n</t>
  </si>
  <si>
    <t>C6i</t>
  </si>
  <si>
    <t>C6n</t>
  </si>
  <si>
    <t>C7n</t>
  </si>
  <si>
    <t>C8n</t>
  </si>
  <si>
    <t>Proline</t>
  </si>
  <si>
    <t>5-Aminovalerate</t>
  </si>
  <si>
    <t>LAC</t>
  </si>
  <si>
    <t>PRO</t>
  </si>
  <si>
    <t>PYRU</t>
  </si>
  <si>
    <t>laccons</t>
  </si>
  <si>
    <t>lactate</t>
  </si>
  <si>
    <t>NH4_increase</t>
  </si>
  <si>
    <t>kPa</t>
  </si>
  <si>
    <t>NADH</t>
  </si>
  <si>
    <t>Fd2-</t>
  </si>
  <si>
    <t>C2_HPLC</t>
  </si>
  <si>
    <t>Growth and culture information</t>
  </si>
  <si>
    <t>octanoica</t>
  </si>
  <si>
    <t>pyruvativorans</t>
  </si>
  <si>
    <t>Substrate Utilization (mM)</t>
  </si>
  <si>
    <t>2 ACCoA</t>
  </si>
  <si>
    <t>1 RBO</t>
  </si>
  <si>
    <t>3 ACCoA</t>
  </si>
  <si>
    <t>2 RBO</t>
  </si>
  <si>
    <t>4 ACCoA</t>
  </si>
  <si>
    <t>3 RBO</t>
  </si>
  <si>
    <t>1 ACCoA</t>
  </si>
  <si>
    <t>0 RBO</t>
  </si>
  <si>
    <t>Balance of Electron Carriers</t>
  </si>
  <si>
    <t xml:space="preserve">RNF </t>
  </si>
  <si>
    <t>HYDA</t>
  </si>
  <si>
    <t>Ion translocation and h2ase close balance</t>
  </si>
  <si>
    <t>NADH (mM)</t>
  </si>
  <si>
    <t>Fd2- (mM)</t>
  </si>
  <si>
    <t>Note:</t>
  </si>
  <si>
    <t>Note on coefficients:</t>
  </si>
  <si>
    <t>Even Chain Monocarboxylate Products (mM)</t>
  </si>
  <si>
    <t>MPL</t>
  </si>
  <si>
    <t>molH2/molS</t>
  </si>
  <si>
    <t>RNF is assumed to supply the additional NADH needed</t>
  </si>
  <si>
    <t>d[NH4+]</t>
  </si>
  <si>
    <t>d[Lac]</t>
  </si>
  <si>
    <t>nC4</t>
  </si>
  <si>
    <t>nC6</t>
  </si>
  <si>
    <t>nC8</t>
  </si>
  <si>
    <t>for RBO by oxidizing Fd2-. HYDA consumes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</si>
</sst>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/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3" xfId="0" applyNumberFormat="1" applyBorder="1"/>
    <xf numFmtId="0" fontId="0" fillId="0" borderId="2" xfId="0" applyFill="1" applyBorder="1" applyAlignment="1">
      <alignment horizontal="center" vertical="center"/>
    </xf>
    <xf numFmtId="164" fontId="0" fillId="0" borderId="0" xfId="0" applyNumberFormat="1" applyBorder="1"/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horizontal="right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Kumar Nallasamy" id="{8D06C7AE-9A6D-5446-AB1F-D63113212A62}" userId="S::dinesh.nallasamy@mail.utoronto.ca::9c9ad60a-9b50-4dec-b64c-456cbab07a6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0" dT="2026-06-11T22:21:56.07" personId="{8D06C7AE-9A6D-5446-AB1F-D63113212A62}" id="{D48E59C3-05C8-B542-8A03-63791F559390}">
    <text>The empty cells in the LDH assay indicate the data were incorrect (human error), so I didn't include them in this sheet.
The empty cells in PYRU H2CO2 data indicates that they were not quantified because there was no growth during that time points (48h, 72h)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DE65-EEF4-2544-94D3-C47EAB9A15AB}">
  <dimension ref="A1:I1036"/>
  <sheetViews>
    <sheetView tabSelected="1" topLeftCell="A1016" workbookViewId="0">
      <selection activeCell="D658" sqref="D658"/>
    </sheetView>
  </sheetViews>
  <sheetFormatPr baseColWidth="10" defaultRowHeight="15" x14ac:dyDescent="0.2"/>
  <cols>
    <col min="1" max="1" width="5.83203125" bestFit="1" customWidth="1"/>
    <col min="2" max="2" width="5.6640625" bestFit="1" customWidth="1"/>
    <col min="3" max="3" width="8.1640625" bestFit="1" customWidth="1"/>
  </cols>
  <sheetData>
    <row r="1" spans="1:6" x14ac:dyDescent="0.2">
      <c r="A1" t="s">
        <v>19</v>
      </c>
      <c r="B1" t="s">
        <v>26</v>
      </c>
      <c r="C1" t="s">
        <v>4</v>
      </c>
      <c r="D1" t="s">
        <v>21</v>
      </c>
      <c r="E1" t="s">
        <v>22</v>
      </c>
      <c r="F1" t="s">
        <v>23</v>
      </c>
    </row>
    <row r="2" spans="1:6" x14ac:dyDescent="0.2">
      <c r="A2" t="s">
        <v>41</v>
      </c>
      <c r="B2">
        <v>0</v>
      </c>
      <c r="C2" t="s">
        <v>6</v>
      </c>
      <c r="D2" t="s">
        <v>0</v>
      </c>
      <c r="E2">
        <v>0</v>
      </c>
      <c r="F2">
        <v>0.02</v>
      </c>
    </row>
    <row r="3" spans="1:6" x14ac:dyDescent="0.2">
      <c r="A3" t="s">
        <v>41</v>
      </c>
      <c r="B3">
        <v>0</v>
      </c>
      <c r="C3" t="s">
        <v>7</v>
      </c>
      <c r="D3" t="s">
        <v>0</v>
      </c>
      <c r="E3">
        <v>0</v>
      </c>
      <c r="F3">
        <v>1.4999999999999999E-2</v>
      </c>
    </row>
    <row r="4" spans="1:6" x14ac:dyDescent="0.2">
      <c r="A4" t="s">
        <v>41</v>
      </c>
      <c r="B4">
        <v>0</v>
      </c>
      <c r="C4" t="s">
        <v>8</v>
      </c>
      <c r="D4" t="s">
        <v>0</v>
      </c>
      <c r="E4">
        <v>0</v>
      </c>
      <c r="F4">
        <v>1.4999999999999999E-2</v>
      </c>
    </row>
    <row r="5" spans="1:6" x14ac:dyDescent="0.2">
      <c r="A5" t="s">
        <v>41</v>
      </c>
      <c r="B5">
        <v>0</v>
      </c>
      <c r="C5" t="s">
        <v>6</v>
      </c>
      <c r="D5" t="s">
        <v>0</v>
      </c>
      <c r="E5">
        <v>17</v>
      </c>
      <c r="F5">
        <v>2.8000000000000001E-2</v>
      </c>
    </row>
    <row r="6" spans="1:6" x14ac:dyDescent="0.2">
      <c r="A6" t="s">
        <v>41</v>
      </c>
      <c r="B6">
        <v>0</v>
      </c>
      <c r="C6" t="s">
        <v>7</v>
      </c>
      <c r="D6" t="s">
        <v>0</v>
      </c>
      <c r="E6">
        <v>17</v>
      </c>
      <c r="F6">
        <v>0.02</v>
      </c>
    </row>
    <row r="7" spans="1:6" x14ac:dyDescent="0.2">
      <c r="A7" t="s">
        <v>41</v>
      </c>
      <c r="B7">
        <v>0</v>
      </c>
      <c r="C7" t="s">
        <v>8</v>
      </c>
      <c r="D7" t="s">
        <v>0</v>
      </c>
      <c r="E7">
        <v>17</v>
      </c>
      <c r="F7">
        <v>0.02</v>
      </c>
    </row>
    <row r="8" spans="1:6" x14ac:dyDescent="0.2">
      <c r="A8" t="s">
        <v>41</v>
      </c>
      <c r="B8">
        <v>0</v>
      </c>
      <c r="C8" t="s">
        <v>6</v>
      </c>
      <c r="D8" t="s">
        <v>0</v>
      </c>
      <c r="E8">
        <v>22</v>
      </c>
      <c r="F8">
        <v>3.2000000000000001E-2</v>
      </c>
    </row>
    <row r="9" spans="1:6" x14ac:dyDescent="0.2">
      <c r="A9" t="s">
        <v>41</v>
      </c>
      <c r="B9">
        <v>0</v>
      </c>
      <c r="C9" t="s">
        <v>7</v>
      </c>
      <c r="D9" t="s">
        <v>0</v>
      </c>
      <c r="E9">
        <v>22</v>
      </c>
      <c r="F9">
        <v>2.5000000000000001E-2</v>
      </c>
    </row>
    <row r="10" spans="1:6" x14ac:dyDescent="0.2">
      <c r="A10" t="s">
        <v>41</v>
      </c>
      <c r="B10">
        <v>0</v>
      </c>
      <c r="C10" t="s">
        <v>8</v>
      </c>
      <c r="D10" t="s">
        <v>0</v>
      </c>
      <c r="E10">
        <v>22</v>
      </c>
      <c r="F10">
        <v>1.9E-2</v>
      </c>
    </row>
    <row r="11" spans="1:6" x14ac:dyDescent="0.2">
      <c r="A11" t="s">
        <v>41</v>
      </c>
      <c r="B11">
        <v>0</v>
      </c>
      <c r="C11" t="s">
        <v>6</v>
      </c>
      <c r="D11" t="s">
        <v>0</v>
      </c>
      <c r="E11">
        <v>27</v>
      </c>
      <c r="F11">
        <v>3.9E-2</v>
      </c>
    </row>
    <row r="12" spans="1:6" x14ac:dyDescent="0.2">
      <c r="A12" t="s">
        <v>41</v>
      </c>
      <c r="B12">
        <v>0</v>
      </c>
      <c r="C12" t="s">
        <v>7</v>
      </c>
      <c r="D12" t="s">
        <v>0</v>
      </c>
      <c r="E12">
        <v>27</v>
      </c>
      <c r="F12">
        <v>2.7E-2</v>
      </c>
    </row>
    <row r="13" spans="1:6" x14ac:dyDescent="0.2">
      <c r="A13" t="s">
        <v>41</v>
      </c>
      <c r="B13">
        <v>0</v>
      </c>
      <c r="C13" t="s">
        <v>8</v>
      </c>
      <c r="D13" t="s">
        <v>0</v>
      </c>
      <c r="E13">
        <v>27</v>
      </c>
      <c r="F13">
        <v>2.5000000000000001E-2</v>
      </c>
    </row>
    <row r="14" spans="1:6" x14ac:dyDescent="0.2">
      <c r="A14" t="s">
        <v>41</v>
      </c>
      <c r="B14">
        <v>0</v>
      </c>
      <c r="C14" t="s">
        <v>6</v>
      </c>
      <c r="D14" t="s">
        <v>0</v>
      </c>
      <c r="E14">
        <v>40</v>
      </c>
      <c r="F14">
        <v>7.2999999999999995E-2</v>
      </c>
    </row>
    <row r="15" spans="1:6" x14ac:dyDescent="0.2">
      <c r="A15" t="s">
        <v>41</v>
      </c>
      <c r="B15">
        <v>0</v>
      </c>
      <c r="C15" t="s">
        <v>7</v>
      </c>
      <c r="D15" t="s">
        <v>0</v>
      </c>
      <c r="E15">
        <v>40</v>
      </c>
      <c r="F15">
        <v>6.0999999999999999E-2</v>
      </c>
    </row>
    <row r="16" spans="1:6" x14ac:dyDescent="0.2">
      <c r="A16" t="s">
        <v>41</v>
      </c>
      <c r="B16">
        <v>0</v>
      </c>
      <c r="C16" t="s">
        <v>8</v>
      </c>
      <c r="D16" t="s">
        <v>0</v>
      </c>
      <c r="E16">
        <v>40</v>
      </c>
      <c r="F16">
        <v>3.4000000000000002E-2</v>
      </c>
    </row>
    <row r="17" spans="1:6" x14ac:dyDescent="0.2">
      <c r="A17" t="s">
        <v>41</v>
      </c>
      <c r="B17">
        <v>0</v>
      </c>
      <c r="C17" t="s">
        <v>6</v>
      </c>
      <c r="D17" t="s">
        <v>0</v>
      </c>
      <c r="E17">
        <v>46</v>
      </c>
      <c r="F17">
        <v>9.8000000000000004E-2</v>
      </c>
    </row>
    <row r="18" spans="1:6" x14ac:dyDescent="0.2">
      <c r="A18" t="s">
        <v>41</v>
      </c>
      <c r="B18">
        <v>0</v>
      </c>
      <c r="C18" t="s">
        <v>7</v>
      </c>
      <c r="D18" t="s">
        <v>0</v>
      </c>
      <c r="E18">
        <v>46</v>
      </c>
      <c r="F18">
        <v>7.0000000000000007E-2</v>
      </c>
    </row>
    <row r="19" spans="1:6" x14ac:dyDescent="0.2">
      <c r="A19" t="s">
        <v>41</v>
      </c>
      <c r="B19">
        <v>0</v>
      </c>
      <c r="C19" t="s">
        <v>8</v>
      </c>
      <c r="D19" t="s">
        <v>0</v>
      </c>
      <c r="E19">
        <v>46</v>
      </c>
      <c r="F19">
        <v>4.9000000000000002E-2</v>
      </c>
    </row>
    <row r="20" spans="1:6" x14ac:dyDescent="0.2">
      <c r="A20" t="s">
        <v>41</v>
      </c>
      <c r="B20">
        <v>0</v>
      </c>
      <c r="C20" t="s">
        <v>6</v>
      </c>
      <c r="D20" t="s">
        <v>0</v>
      </c>
      <c r="E20">
        <v>52.5</v>
      </c>
      <c r="F20">
        <v>0.16900000000000001</v>
      </c>
    </row>
    <row r="21" spans="1:6" x14ac:dyDescent="0.2">
      <c r="A21" t="s">
        <v>41</v>
      </c>
      <c r="B21">
        <v>0</v>
      </c>
      <c r="C21" t="s">
        <v>7</v>
      </c>
      <c r="D21" t="s">
        <v>0</v>
      </c>
      <c r="E21">
        <v>52.5</v>
      </c>
      <c r="F21">
        <v>0.11700000000000001</v>
      </c>
    </row>
    <row r="22" spans="1:6" x14ac:dyDescent="0.2">
      <c r="A22" t="s">
        <v>41</v>
      </c>
      <c r="B22">
        <v>0</v>
      </c>
      <c r="C22" t="s">
        <v>8</v>
      </c>
      <c r="D22" t="s">
        <v>0</v>
      </c>
      <c r="E22">
        <v>52.5</v>
      </c>
      <c r="F22">
        <v>6.7000000000000004E-2</v>
      </c>
    </row>
    <row r="23" spans="1:6" x14ac:dyDescent="0.2">
      <c r="A23" t="s">
        <v>41</v>
      </c>
      <c r="B23">
        <v>0</v>
      </c>
      <c r="C23" t="s">
        <v>6</v>
      </c>
      <c r="D23" t="s">
        <v>0</v>
      </c>
      <c r="E23">
        <v>69.5</v>
      </c>
      <c r="F23">
        <v>0.75700000000000001</v>
      </c>
    </row>
    <row r="24" spans="1:6" x14ac:dyDescent="0.2">
      <c r="A24" t="s">
        <v>41</v>
      </c>
      <c r="B24">
        <v>0</v>
      </c>
      <c r="C24" t="s">
        <v>7</v>
      </c>
      <c r="D24" t="s">
        <v>0</v>
      </c>
      <c r="E24">
        <v>69.5</v>
      </c>
      <c r="F24">
        <v>0.57599999999999996</v>
      </c>
    </row>
    <row r="25" spans="1:6" x14ac:dyDescent="0.2">
      <c r="A25" t="s">
        <v>41</v>
      </c>
      <c r="B25">
        <v>0</v>
      </c>
      <c r="C25" t="s">
        <v>8</v>
      </c>
      <c r="D25" t="s">
        <v>0</v>
      </c>
      <c r="E25">
        <v>69.5</v>
      </c>
      <c r="F25">
        <v>0.28499999999999998</v>
      </c>
    </row>
    <row r="26" spans="1:6" x14ac:dyDescent="0.2">
      <c r="A26" t="s">
        <v>41</v>
      </c>
      <c r="B26">
        <v>0</v>
      </c>
      <c r="C26" t="s">
        <v>6</v>
      </c>
      <c r="D26" t="s">
        <v>0</v>
      </c>
      <c r="E26">
        <v>94</v>
      </c>
      <c r="F26">
        <v>1.036</v>
      </c>
    </row>
    <row r="27" spans="1:6" x14ac:dyDescent="0.2">
      <c r="A27" t="s">
        <v>41</v>
      </c>
      <c r="B27">
        <v>0</v>
      </c>
      <c r="C27" t="s">
        <v>7</v>
      </c>
      <c r="D27" t="s">
        <v>0</v>
      </c>
      <c r="E27">
        <v>94</v>
      </c>
      <c r="F27">
        <v>1.0209999999999999</v>
      </c>
    </row>
    <row r="28" spans="1:6" x14ac:dyDescent="0.2">
      <c r="A28" t="s">
        <v>41</v>
      </c>
      <c r="B28">
        <v>0</v>
      </c>
      <c r="C28" t="s">
        <v>8</v>
      </c>
      <c r="D28" t="s">
        <v>0</v>
      </c>
      <c r="E28">
        <v>94</v>
      </c>
      <c r="F28">
        <v>0.92400000000000004</v>
      </c>
    </row>
    <row r="29" spans="1:6" x14ac:dyDescent="0.2">
      <c r="A29" t="s">
        <v>41</v>
      </c>
      <c r="B29">
        <v>0</v>
      </c>
      <c r="C29" t="s">
        <v>6</v>
      </c>
      <c r="D29" t="s">
        <v>24</v>
      </c>
      <c r="E29">
        <v>94</v>
      </c>
      <c r="F29">
        <v>11.7</v>
      </c>
    </row>
    <row r="30" spans="1:6" x14ac:dyDescent="0.2">
      <c r="A30" t="s">
        <v>41</v>
      </c>
      <c r="B30">
        <v>0</v>
      </c>
      <c r="C30" t="s">
        <v>7</v>
      </c>
      <c r="D30" t="s">
        <v>24</v>
      </c>
      <c r="E30">
        <v>94</v>
      </c>
      <c r="F30">
        <v>11.48</v>
      </c>
    </row>
    <row r="31" spans="1:6" x14ac:dyDescent="0.2">
      <c r="A31" t="s">
        <v>41</v>
      </c>
      <c r="B31">
        <v>0</v>
      </c>
      <c r="C31" t="s">
        <v>8</v>
      </c>
      <c r="D31" t="s">
        <v>24</v>
      </c>
      <c r="E31">
        <v>94</v>
      </c>
      <c r="F31">
        <v>8.86</v>
      </c>
    </row>
    <row r="32" spans="1:6" x14ac:dyDescent="0.2">
      <c r="A32" t="s">
        <v>41</v>
      </c>
      <c r="B32">
        <v>0</v>
      </c>
      <c r="C32" t="s">
        <v>6</v>
      </c>
      <c r="D32" t="s">
        <v>0</v>
      </c>
      <c r="E32">
        <v>140</v>
      </c>
      <c r="F32">
        <v>0.89600000000000002</v>
      </c>
    </row>
    <row r="33" spans="1:6" x14ac:dyDescent="0.2">
      <c r="A33" t="s">
        <v>41</v>
      </c>
      <c r="B33">
        <v>0</v>
      </c>
      <c r="C33" t="s">
        <v>7</v>
      </c>
      <c r="D33" t="s">
        <v>0</v>
      </c>
      <c r="E33">
        <v>140</v>
      </c>
      <c r="F33">
        <v>0.90700000000000003</v>
      </c>
    </row>
    <row r="34" spans="1:6" x14ac:dyDescent="0.2">
      <c r="A34" t="s">
        <v>41</v>
      </c>
      <c r="B34">
        <v>0</v>
      </c>
      <c r="C34" t="s">
        <v>8</v>
      </c>
      <c r="D34" t="s">
        <v>0</v>
      </c>
      <c r="E34">
        <v>140</v>
      </c>
      <c r="F34">
        <v>0.95399999999999996</v>
      </c>
    </row>
    <row r="35" spans="1:6" x14ac:dyDescent="0.2">
      <c r="A35" t="s">
        <v>41</v>
      </c>
      <c r="B35">
        <v>0</v>
      </c>
      <c r="C35" t="s">
        <v>6</v>
      </c>
      <c r="D35" t="s">
        <v>24</v>
      </c>
      <c r="E35">
        <v>140</v>
      </c>
      <c r="F35">
        <v>10.16</v>
      </c>
    </row>
    <row r="36" spans="1:6" x14ac:dyDescent="0.2">
      <c r="A36" t="s">
        <v>41</v>
      </c>
      <c r="B36">
        <v>0</v>
      </c>
      <c r="C36" t="s">
        <v>7</v>
      </c>
      <c r="D36" t="s">
        <v>24</v>
      </c>
      <c r="E36">
        <v>140</v>
      </c>
      <c r="F36">
        <v>10.7</v>
      </c>
    </row>
    <row r="37" spans="1:6" x14ac:dyDescent="0.2">
      <c r="A37" t="s">
        <v>41</v>
      </c>
      <c r="B37">
        <v>0</v>
      </c>
      <c r="C37" t="s">
        <v>8</v>
      </c>
      <c r="D37" t="s">
        <v>24</v>
      </c>
      <c r="E37">
        <v>140</v>
      </c>
      <c r="F37">
        <v>10.44</v>
      </c>
    </row>
    <row r="38" spans="1:6" x14ac:dyDescent="0.2">
      <c r="A38" t="s">
        <v>41</v>
      </c>
      <c r="B38">
        <v>0</v>
      </c>
      <c r="C38" t="s">
        <v>6</v>
      </c>
      <c r="D38" t="s">
        <v>1</v>
      </c>
      <c r="E38">
        <v>140</v>
      </c>
      <c r="F38">
        <v>6.86</v>
      </c>
    </row>
    <row r="39" spans="1:6" x14ac:dyDescent="0.2">
      <c r="A39" t="s">
        <v>41</v>
      </c>
      <c r="B39">
        <v>0</v>
      </c>
      <c r="C39" t="s">
        <v>7</v>
      </c>
      <c r="D39" t="s">
        <v>1</v>
      </c>
      <c r="E39">
        <v>140</v>
      </c>
      <c r="F39">
        <v>6.88</v>
      </c>
    </row>
    <row r="40" spans="1:6" x14ac:dyDescent="0.2">
      <c r="A40" t="s">
        <v>41</v>
      </c>
      <c r="B40">
        <v>0</v>
      </c>
      <c r="C40" t="s">
        <v>8</v>
      </c>
      <c r="D40" t="s">
        <v>1</v>
      </c>
      <c r="E40">
        <v>140</v>
      </c>
      <c r="F40">
        <v>6.85</v>
      </c>
    </row>
    <row r="41" spans="1:6" x14ac:dyDescent="0.2">
      <c r="A41" t="s">
        <v>41</v>
      </c>
      <c r="B41">
        <v>0</v>
      </c>
      <c r="C41" t="s">
        <v>6</v>
      </c>
      <c r="D41" t="s">
        <v>27</v>
      </c>
      <c r="E41">
        <v>140</v>
      </c>
      <c r="F41" s="1">
        <v>1.7800000000000002</v>
      </c>
    </row>
    <row r="42" spans="1:6" x14ac:dyDescent="0.2">
      <c r="A42" t="s">
        <v>41</v>
      </c>
      <c r="B42">
        <v>0</v>
      </c>
      <c r="C42" t="s">
        <v>7</v>
      </c>
      <c r="D42" t="s">
        <v>27</v>
      </c>
      <c r="E42">
        <v>140</v>
      </c>
      <c r="F42" s="1">
        <v>1.7999999999999998</v>
      </c>
    </row>
    <row r="43" spans="1:6" x14ac:dyDescent="0.2">
      <c r="A43" t="s">
        <v>41</v>
      </c>
      <c r="B43">
        <v>0</v>
      </c>
      <c r="C43" t="s">
        <v>8</v>
      </c>
      <c r="D43" t="s">
        <v>27</v>
      </c>
      <c r="E43">
        <v>140</v>
      </c>
      <c r="F43" s="1">
        <v>1.7699999999999996</v>
      </c>
    </row>
    <row r="44" spans="1:6" x14ac:dyDescent="0.2">
      <c r="A44" s="1" t="s">
        <v>41</v>
      </c>
      <c r="B44" s="1">
        <v>0</v>
      </c>
      <c r="C44" s="1" t="s">
        <v>6</v>
      </c>
      <c r="D44" s="1" t="s">
        <v>10</v>
      </c>
      <c r="E44" s="1">
        <v>140</v>
      </c>
      <c r="F44" s="1">
        <v>19.617000000000001</v>
      </c>
    </row>
    <row r="45" spans="1:6" x14ac:dyDescent="0.2">
      <c r="A45" s="1" t="s">
        <v>41</v>
      </c>
      <c r="B45" s="1">
        <v>0</v>
      </c>
      <c r="C45" s="1" t="s">
        <v>7</v>
      </c>
      <c r="D45" s="1" t="s">
        <v>10</v>
      </c>
      <c r="E45" s="1">
        <v>140</v>
      </c>
      <c r="F45" s="1">
        <v>24.855</v>
      </c>
    </row>
    <row r="46" spans="1:6" x14ac:dyDescent="0.2">
      <c r="A46" s="1" t="s">
        <v>41</v>
      </c>
      <c r="B46" s="1">
        <v>0</v>
      </c>
      <c r="C46" s="1" t="s">
        <v>8</v>
      </c>
      <c r="D46" s="1" t="s">
        <v>10</v>
      </c>
      <c r="E46" s="1">
        <v>140</v>
      </c>
      <c r="F46" s="1">
        <v>22.510999999999999</v>
      </c>
    </row>
    <row r="47" spans="1:6" x14ac:dyDescent="0.2">
      <c r="A47" s="1" t="s">
        <v>41</v>
      </c>
      <c r="B47" s="1">
        <v>0</v>
      </c>
      <c r="C47" s="1" t="s">
        <v>6</v>
      </c>
      <c r="D47" s="1" t="s">
        <v>10</v>
      </c>
      <c r="E47" s="1">
        <v>94</v>
      </c>
      <c r="F47" s="1">
        <v>35.770000000000003</v>
      </c>
    </row>
    <row r="48" spans="1:6" x14ac:dyDescent="0.2">
      <c r="A48" s="1" t="s">
        <v>41</v>
      </c>
      <c r="B48" s="1">
        <v>0</v>
      </c>
      <c r="C48" s="1" t="s">
        <v>7</v>
      </c>
      <c r="D48" s="1" t="s">
        <v>10</v>
      </c>
      <c r="E48" s="1">
        <v>94</v>
      </c>
      <c r="F48" s="1">
        <v>40.057000000000002</v>
      </c>
    </row>
    <row r="49" spans="1:6" x14ac:dyDescent="0.2">
      <c r="A49" s="1" t="s">
        <v>41</v>
      </c>
      <c r="B49" s="1">
        <v>0</v>
      </c>
      <c r="C49" s="1" t="s">
        <v>8</v>
      </c>
      <c r="D49" s="1" t="s">
        <v>10</v>
      </c>
      <c r="E49" s="1">
        <v>94</v>
      </c>
      <c r="F49" s="1">
        <v>53.048000000000002</v>
      </c>
    </row>
    <row r="50" spans="1:6" x14ac:dyDescent="0.2">
      <c r="A50" s="1" t="s">
        <v>41</v>
      </c>
      <c r="B50" s="1">
        <v>0</v>
      </c>
      <c r="C50" s="1" t="s">
        <v>6</v>
      </c>
      <c r="D50" s="1" t="s">
        <v>10</v>
      </c>
      <c r="E50" s="1">
        <v>0</v>
      </c>
      <c r="F50" s="1">
        <v>89.51</v>
      </c>
    </row>
    <row r="51" spans="1:6" x14ac:dyDescent="0.2">
      <c r="A51" s="1" t="s">
        <v>41</v>
      </c>
      <c r="B51" s="1">
        <v>0</v>
      </c>
      <c r="C51" s="1" t="s">
        <v>7</v>
      </c>
      <c r="D51" s="1" t="s">
        <v>10</v>
      </c>
      <c r="E51" s="1">
        <v>0</v>
      </c>
      <c r="F51" s="1">
        <v>88.84</v>
      </c>
    </row>
    <row r="52" spans="1:6" x14ac:dyDescent="0.2">
      <c r="A52" s="1" t="s">
        <v>41</v>
      </c>
      <c r="B52" s="1">
        <v>0</v>
      </c>
      <c r="C52" s="1" t="s">
        <v>8</v>
      </c>
      <c r="D52" s="1" t="s">
        <v>10</v>
      </c>
      <c r="E52" s="1">
        <v>0</v>
      </c>
      <c r="F52" s="1">
        <v>89.200999999999993</v>
      </c>
    </row>
    <row r="53" spans="1:6" x14ac:dyDescent="0.2">
      <c r="A53" s="1" t="s">
        <v>41</v>
      </c>
      <c r="B53" s="1">
        <v>0</v>
      </c>
      <c r="C53" s="1" t="s">
        <v>6</v>
      </c>
      <c r="D53" s="1" t="s">
        <v>25</v>
      </c>
      <c r="E53" s="1">
        <v>140</v>
      </c>
      <c r="F53" s="1">
        <v>7.5970000000000004</v>
      </c>
    </row>
    <row r="54" spans="1:6" x14ac:dyDescent="0.2">
      <c r="A54" s="1" t="s">
        <v>41</v>
      </c>
      <c r="B54" s="1">
        <v>0</v>
      </c>
      <c r="C54" s="1" t="s">
        <v>7</v>
      </c>
      <c r="D54" s="1" t="s">
        <v>25</v>
      </c>
      <c r="E54" s="1">
        <v>140</v>
      </c>
      <c r="F54" s="1">
        <v>10.653</v>
      </c>
    </row>
    <row r="55" spans="1:6" x14ac:dyDescent="0.2">
      <c r="A55" s="1" t="s">
        <v>41</v>
      </c>
      <c r="B55" s="1">
        <v>0</v>
      </c>
      <c r="C55" s="1" t="s">
        <v>8</v>
      </c>
      <c r="D55" s="1" t="s">
        <v>25</v>
      </c>
      <c r="E55" s="1">
        <v>140</v>
      </c>
      <c r="F55" s="1">
        <v>8.9510000000000005</v>
      </c>
    </row>
    <row r="56" spans="1:6" x14ac:dyDescent="0.2">
      <c r="A56" s="1" t="s">
        <v>41</v>
      </c>
      <c r="B56" s="1">
        <v>0</v>
      </c>
      <c r="C56" s="1" t="s">
        <v>6</v>
      </c>
      <c r="D56" s="1" t="s">
        <v>25</v>
      </c>
      <c r="E56" s="1">
        <v>94</v>
      </c>
      <c r="F56" s="1">
        <v>12.099</v>
      </c>
    </row>
    <row r="57" spans="1:6" x14ac:dyDescent="0.2">
      <c r="A57" s="1" t="s">
        <v>41</v>
      </c>
      <c r="B57" s="1">
        <v>0</v>
      </c>
      <c r="C57" s="1" t="s">
        <v>7</v>
      </c>
      <c r="D57" s="1" t="s">
        <v>25</v>
      </c>
      <c r="E57" s="1">
        <v>94</v>
      </c>
      <c r="F57" s="1">
        <v>11.654999999999999</v>
      </c>
    </row>
    <row r="58" spans="1:6" x14ac:dyDescent="0.2">
      <c r="A58" s="1" t="s">
        <v>41</v>
      </c>
      <c r="B58" s="1">
        <v>0</v>
      </c>
      <c r="C58" s="1" t="s">
        <v>8</v>
      </c>
      <c r="D58" s="1" t="s">
        <v>25</v>
      </c>
      <c r="E58" s="1">
        <v>94</v>
      </c>
      <c r="F58" s="1">
        <v>9.6519999999999992</v>
      </c>
    </row>
    <row r="59" spans="1:6" x14ac:dyDescent="0.2">
      <c r="A59" s="1" t="s">
        <v>41</v>
      </c>
      <c r="B59" s="1">
        <v>0</v>
      </c>
      <c r="C59" s="1" t="s">
        <v>6</v>
      </c>
      <c r="D59" s="1" t="s">
        <v>25</v>
      </c>
      <c r="E59" s="1">
        <v>0</v>
      </c>
      <c r="F59" s="1">
        <v>0.25800000000000001</v>
      </c>
    </row>
    <row r="60" spans="1:6" x14ac:dyDescent="0.2">
      <c r="A60" s="1" t="s">
        <v>41</v>
      </c>
      <c r="B60" s="1">
        <v>0</v>
      </c>
      <c r="C60" s="1" t="s">
        <v>7</v>
      </c>
      <c r="D60" s="1" t="s">
        <v>25</v>
      </c>
      <c r="E60" s="1">
        <v>0</v>
      </c>
      <c r="F60" s="1">
        <v>6.3E-2</v>
      </c>
    </row>
    <row r="61" spans="1:6" x14ac:dyDescent="0.2">
      <c r="A61" s="1" t="s">
        <v>41</v>
      </c>
      <c r="B61" s="1">
        <v>0</v>
      </c>
      <c r="C61" s="1" t="s">
        <v>8</v>
      </c>
      <c r="D61" s="1" t="s">
        <v>25</v>
      </c>
      <c r="E61" s="1">
        <v>0</v>
      </c>
      <c r="F61" s="1">
        <v>9.4E-2</v>
      </c>
    </row>
    <row r="62" spans="1:6" x14ac:dyDescent="0.2">
      <c r="A62" s="1" t="s">
        <v>41</v>
      </c>
      <c r="B62" s="1">
        <v>0</v>
      </c>
      <c r="C62" s="1" t="s">
        <v>6</v>
      </c>
      <c r="D62" s="1" t="s">
        <v>28</v>
      </c>
      <c r="E62" s="1">
        <v>140</v>
      </c>
      <c r="F62" s="1" t="s">
        <v>29</v>
      </c>
    </row>
    <row r="63" spans="1:6" x14ac:dyDescent="0.2">
      <c r="A63" s="1" t="s">
        <v>41</v>
      </c>
      <c r="B63" s="1">
        <v>0</v>
      </c>
      <c r="C63" s="1" t="s">
        <v>7</v>
      </c>
      <c r="D63" s="1" t="s">
        <v>28</v>
      </c>
      <c r="E63" s="1">
        <v>140</v>
      </c>
      <c r="F63" s="1" t="s">
        <v>29</v>
      </c>
    </row>
    <row r="64" spans="1:6" x14ac:dyDescent="0.2">
      <c r="A64" s="1" t="s">
        <v>41</v>
      </c>
      <c r="B64" s="1">
        <v>0</v>
      </c>
      <c r="C64" s="1" t="s">
        <v>8</v>
      </c>
      <c r="D64" s="1" t="s">
        <v>28</v>
      </c>
      <c r="E64" s="1">
        <v>140</v>
      </c>
      <c r="F64" s="1" t="s">
        <v>29</v>
      </c>
    </row>
    <row r="65" spans="1:6" x14ac:dyDescent="0.2">
      <c r="A65" s="1" t="s">
        <v>41</v>
      </c>
      <c r="B65" s="1">
        <v>0</v>
      </c>
      <c r="C65" s="1" t="s">
        <v>6</v>
      </c>
      <c r="D65" s="1" t="s">
        <v>28</v>
      </c>
      <c r="E65" s="1">
        <v>94</v>
      </c>
      <c r="F65" s="1" t="s">
        <v>29</v>
      </c>
    </row>
    <row r="66" spans="1:6" x14ac:dyDescent="0.2">
      <c r="A66" s="1" t="s">
        <v>41</v>
      </c>
      <c r="B66" s="1">
        <v>0</v>
      </c>
      <c r="C66" s="1" t="s">
        <v>7</v>
      </c>
      <c r="D66" s="1" t="s">
        <v>28</v>
      </c>
      <c r="E66" s="1">
        <v>94</v>
      </c>
      <c r="F66" s="1" t="s">
        <v>29</v>
      </c>
    </row>
    <row r="67" spans="1:6" x14ac:dyDescent="0.2">
      <c r="A67" s="1" t="s">
        <v>41</v>
      </c>
      <c r="B67" s="1">
        <v>0</v>
      </c>
      <c r="C67" s="1" t="s">
        <v>8</v>
      </c>
      <c r="D67" s="1" t="s">
        <v>28</v>
      </c>
      <c r="E67" s="1">
        <v>94</v>
      </c>
      <c r="F67" s="1" t="s">
        <v>29</v>
      </c>
    </row>
    <row r="68" spans="1:6" x14ac:dyDescent="0.2">
      <c r="A68" s="1" t="s">
        <v>41</v>
      </c>
      <c r="B68" s="1">
        <v>0</v>
      </c>
      <c r="C68" s="1" t="s">
        <v>6</v>
      </c>
      <c r="D68" s="1" t="s">
        <v>28</v>
      </c>
      <c r="E68" s="1">
        <v>0</v>
      </c>
      <c r="F68" s="1" t="s">
        <v>29</v>
      </c>
    </row>
    <row r="69" spans="1:6" x14ac:dyDescent="0.2">
      <c r="A69" s="1" t="s">
        <v>41</v>
      </c>
      <c r="B69" s="1">
        <v>0</v>
      </c>
      <c r="C69" s="1" t="s">
        <v>7</v>
      </c>
      <c r="D69" s="1" t="s">
        <v>28</v>
      </c>
      <c r="E69" s="1">
        <v>0</v>
      </c>
      <c r="F69" s="1" t="s">
        <v>29</v>
      </c>
    </row>
    <row r="70" spans="1:6" x14ac:dyDescent="0.2">
      <c r="A70" s="1" t="s">
        <v>41</v>
      </c>
      <c r="B70" s="1">
        <v>0</v>
      </c>
      <c r="C70" s="1" t="s">
        <v>8</v>
      </c>
      <c r="D70" s="1" t="s">
        <v>28</v>
      </c>
      <c r="E70" s="1">
        <v>0</v>
      </c>
      <c r="F70" s="1">
        <v>3.4000000000000002E-2</v>
      </c>
    </row>
    <row r="71" spans="1:6" x14ac:dyDescent="0.2">
      <c r="A71" s="11" t="s">
        <v>41</v>
      </c>
      <c r="B71">
        <v>0</v>
      </c>
      <c r="C71" s="9" t="s">
        <v>6</v>
      </c>
      <c r="D71" s="1" t="s">
        <v>30</v>
      </c>
      <c r="E71" s="9">
        <v>0</v>
      </c>
      <c r="F71" s="9">
        <v>0.41099999999999998</v>
      </c>
    </row>
    <row r="72" spans="1:6" x14ac:dyDescent="0.2">
      <c r="A72" s="11" t="s">
        <v>41</v>
      </c>
      <c r="B72">
        <v>0</v>
      </c>
      <c r="C72" s="9" t="s">
        <v>7</v>
      </c>
      <c r="D72" s="1" t="s">
        <v>30</v>
      </c>
      <c r="E72" s="9">
        <v>0</v>
      </c>
      <c r="F72" s="9">
        <v>0.32300000000000001</v>
      </c>
    </row>
    <row r="73" spans="1:6" x14ac:dyDescent="0.2">
      <c r="A73" s="11" t="s">
        <v>41</v>
      </c>
      <c r="B73">
        <v>0</v>
      </c>
      <c r="C73" s="9" t="s">
        <v>8</v>
      </c>
      <c r="D73" s="1" t="s">
        <v>30</v>
      </c>
      <c r="E73" s="9">
        <v>0</v>
      </c>
      <c r="F73" s="9">
        <v>0.30299999999999999</v>
      </c>
    </row>
    <row r="74" spans="1:6" x14ac:dyDescent="0.2">
      <c r="A74" s="11" t="s">
        <v>41</v>
      </c>
      <c r="B74">
        <v>0</v>
      </c>
      <c r="C74" s="9" t="s">
        <v>6</v>
      </c>
      <c r="D74" s="1" t="s">
        <v>30</v>
      </c>
      <c r="E74" s="9">
        <v>94</v>
      </c>
      <c r="F74" s="9">
        <v>16.029</v>
      </c>
    </row>
    <row r="75" spans="1:6" x14ac:dyDescent="0.2">
      <c r="A75" s="11" t="s">
        <v>41</v>
      </c>
      <c r="B75">
        <v>0</v>
      </c>
      <c r="C75" s="9" t="s">
        <v>7</v>
      </c>
      <c r="D75" s="1" t="s">
        <v>30</v>
      </c>
      <c r="E75" s="9">
        <v>94</v>
      </c>
      <c r="F75" s="9">
        <v>14.813000000000001</v>
      </c>
    </row>
    <row r="76" spans="1:6" x14ac:dyDescent="0.2">
      <c r="A76" s="11" t="s">
        <v>41</v>
      </c>
      <c r="B76">
        <v>0</v>
      </c>
      <c r="C76" s="9" t="s">
        <v>8</v>
      </c>
      <c r="D76" s="1" t="s">
        <v>30</v>
      </c>
      <c r="E76" s="9">
        <v>94</v>
      </c>
      <c r="F76" s="9">
        <v>12.919</v>
      </c>
    </row>
    <row r="77" spans="1:6" x14ac:dyDescent="0.2">
      <c r="A77" s="11" t="s">
        <v>41</v>
      </c>
      <c r="B77">
        <v>0</v>
      </c>
      <c r="C77" s="9" t="s">
        <v>6</v>
      </c>
      <c r="D77" s="1" t="s">
        <v>30</v>
      </c>
      <c r="E77" s="9">
        <v>140</v>
      </c>
      <c r="F77" s="9">
        <v>8.6349999999999998</v>
      </c>
    </row>
    <row r="78" spans="1:6" x14ac:dyDescent="0.2">
      <c r="A78" s="11" t="s">
        <v>41</v>
      </c>
      <c r="B78">
        <v>0</v>
      </c>
      <c r="C78" s="9" t="s">
        <v>7</v>
      </c>
      <c r="D78" s="1" t="s">
        <v>30</v>
      </c>
      <c r="E78" s="9">
        <v>140</v>
      </c>
      <c r="F78" s="9">
        <v>13.243</v>
      </c>
    </row>
    <row r="79" spans="1:6" x14ac:dyDescent="0.2">
      <c r="A79" s="11" t="s">
        <v>41</v>
      </c>
      <c r="B79">
        <v>0</v>
      </c>
      <c r="C79" s="9" t="s">
        <v>8</v>
      </c>
      <c r="D79" s="1" t="s">
        <v>30</v>
      </c>
      <c r="E79" s="9">
        <v>140</v>
      </c>
      <c r="F79" s="9">
        <v>10.321</v>
      </c>
    </row>
    <row r="80" spans="1:6" x14ac:dyDescent="0.2">
      <c r="A80" s="11" t="s">
        <v>41</v>
      </c>
      <c r="B80">
        <v>0</v>
      </c>
      <c r="C80" s="9" t="s">
        <v>6</v>
      </c>
      <c r="D80" s="9" t="s">
        <v>12</v>
      </c>
      <c r="E80" s="9">
        <v>0</v>
      </c>
      <c r="F80" s="9" t="s">
        <v>29</v>
      </c>
    </row>
    <row r="81" spans="1:6" x14ac:dyDescent="0.2">
      <c r="A81" s="11" t="s">
        <v>41</v>
      </c>
      <c r="B81">
        <v>0</v>
      </c>
      <c r="C81" s="9" t="s">
        <v>7</v>
      </c>
      <c r="D81" s="9" t="s">
        <v>12</v>
      </c>
      <c r="E81" s="9">
        <v>0</v>
      </c>
      <c r="F81" s="9" t="s">
        <v>29</v>
      </c>
    </row>
    <row r="82" spans="1:6" x14ac:dyDescent="0.2">
      <c r="A82" s="11" t="s">
        <v>41</v>
      </c>
      <c r="B82">
        <v>0</v>
      </c>
      <c r="C82" s="9" t="s">
        <v>8</v>
      </c>
      <c r="D82" s="9" t="s">
        <v>12</v>
      </c>
      <c r="E82" s="9">
        <v>0</v>
      </c>
      <c r="F82" s="9" t="s">
        <v>29</v>
      </c>
    </row>
    <row r="83" spans="1:6" x14ac:dyDescent="0.2">
      <c r="A83" s="11" t="s">
        <v>41</v>
      </c>
      <c r="B83">
        <v>0</v>
      </c>
      <c r="C83" s="9" t="s">
        <v>6</v>
      </c>
      <c r="D83" s="9" t="s">
        <v>12</v>
      </c>
      <c r="E83" s="9">
        <v>94</v>
      </c>
      <c r="F83" s="9" t="s">
        <v>29</v>
      </c>
    </row>
    <row r="84" spans="1:6" x14ac:dyDescent="0.2">
      <c r="A84" s="11" t="s">
        <v>41</v>
      </c>
      <c r="B84">
        <v>0</v>
      </c>
      <c r="C84" s="9" t="s">
        <v>7</v>
      </c>
      <c r="D84" s="9" t="s">
        <v>12</v>
      </c>
      <c r="E84" s="9">
        <v>94</v>
      </c>
      <c r="F84" s="9" t="s">
        <v>29</v>
      </c>
    </row>
    <row r="85" spans="1:6" x14ac:dyDescent="0.2">
      <c r="A85" s="11" t="s">
        <v>41</v>
      </c>
      <c r="B85">
        <v>0</v>
      </c>
      <c r="C85" s="9" t="s">
        <v>8</v>
      </c>
      <c r="D85" s="9" t="s">
        <v>12</v>
      </c>
      <c r="E85" s="9">
        <v>94</v>
      </c>
      <c r="F85" s="9" t="s">
        <v>29</v>
      </c>
    </row>
    <row r="86" spans="1:6" x14ac:dyDescent="0.2">
      <c r="A86" s="11" t="s">
        <v>41</v>
      </c>
      <c r="B86">
        <v>0</v>
      </c>
      <c r="C86" s="9" t="s">
        <v>6</v>
      </c>
      <c r="D86" s="9" t="s">
        <v>12</v>
      </c>
      <c r="E86" s="9">
        <v>140</v>
      </c>
      <c r="F86" s="9">
        <v>3.5999999999999997E-2</v>
      </c>
    </row>
    <row r="87" spans="1:6" x14ac:dyDescent="0.2">
      <c r="A87" s="11" t="s">
        <v>41</v>
      </c>
      <c r="B87">
        <v>0</v>
      </c>
      <c r="C87" s="9" t="s">
        <v>7</v>
      </c>
      <c r="D87" s="9" t="s">
        <v>12</v>
      </c>
      <c r="E87" s="9">
        <v>140</v>
      </c>
      <c r="F87" s="9">
        <v>0.08</v>
      </c>
    </row>
    <row r="88" spans="1:6" x14ac:dyDescent="0.2">
      <c r="A88" s="11" t="s">
        <v>41</v>
      </c>
      <c r="B88">
        <v>0</v>
      </c>
      <c r="C88" s="9" t="s">
        <v>8</v>
      </c>
      <c r="D88" s="9" t="s">
        <v>12</v>
      </c>
      <c r="E88" s="9">
        <v>140</v>
      </c>
      <c r="F88" s="9">
        <v>8.0000000000000002E-3</v>
      </c>
    </row>
    <row r="89" spans="1:6" x14ac:dyDescent="0.2">
      <c r="A89" s="11" t="s">
        <v>41</v>
      </c>
      <c r="B89">
        <v>0</v>
      </c>
      <c r="C89" s="9" t="s">
        <v>6</v>
      </c>
      <c r="D89" s="9" t="s">
        <v>31</v>
      </c>
      <c r="E89" s="9">
        <v>0</v>
      </c>
      <c r="F89" s="9" t="s">
        <v>29</v>
      </c>
    </row>
    <row r="90" spans="1:6" x14ac:dyDescent="0.2">
      <c r="A90" s="11" t="s">
        <v>41</v>
      </c>
      <c r="B90">
        <v>0</v>
      </c>
      <c r="C90" s="9" t="s">
        <v>7</v>
      </c>
      <c r="D90" s="9" t="s">
        <v>31</v>
      </c>
      <c r="E90" s="9">
        <v>0</v>
      </c>
      <c r="F90" s="9" t="s">
        <v>29</v>
      </c>
    </row>
    <row r="91" spans="1:6" x14ac:dyDescent="0.2">
      <c r="A91" s="11" t="s">
        <v>41</v>
      </c>
      <c r="B91">
        <v>0</v>
      </c>
      <c r="C91" s="9" t="s">
        <v>8</v>
      </c>
      <c r="D91" s="9" t="s">
        <v>31</v>
      </c>
      <c r="E91" s="9">
        <v>0</v>
      </c>
      <c r="F91" s="9" t="s">
        <v>29</v>
      </c>
    </row>
    <row r="92" spans="1:6" x14ac:dyDescent="0.2">
      <c r="A92" s="11" t="s">
        <v>41</v>
      </c>
      <c r="B92">
        <v>0</v>
      </c>
      <c r="C92" s="9" t="s">
        <v>6</v>
      </c>
      <c r="D92" s="9" t="s">
        <v>31</v>
      </c>
      <c r="E92" s="9">
        <v>94</v>
      </c>
      <c r="F92" s="9" t="s">
        <v>29</v>
      </c>
    </row>
    <row r="93" spans="1:6" x14ac:dyDescent="0.2">
      <c r="A93" s="11" t="s">
        <v>41</v>
      </c>
      <c r="B93">
        <v>0</v>
      </c>
      <c r="C93" s="9" t="s">
        <v>7</v>
      </c>
      <c r="D93" s="9" t="s">
        <v>31</v>
      </c>
      <c r="E93" s="9">
        <v>94</v>
      </c>
      <c r="F93" s="9" t="s">
        <v>29</v>
      </c>
    </row>
    <row r="94" spans="1:6" x14ac:dyDescent="0.2">
      <c r="A94" s="11" t="s">
        <v>41</v>
      </c>
      <c r="B94">
        <v>0</v>
      </c>
      <c r="C94" s="9" t="s">
        <v>8</v>
      </c>
      <c r="D94" s="9" t="s">
        <v>31</v>
      </c>
      <c r="E94" s="9">
        <v>94</v>
      </c>
      <c r="F94" s="9" t="s">
        <v>29</v>
      </c>
    </row>
    <row r="95" spans="1:6" x14ac:dyDescent="0.2">
      <c r="A95" s="11" t="s">
        <v>41</v>
      </c>
      <c r="B95">
        <v>0</v>
      </c>
      <c r="C95" s="9" t="s">
        <v>6</v>
      </c>
      <c r="D95" s="9" t="s">
        <v>31</v>
      </c>
      <c r="E95" s="9">
        <v>140</v>
      </c>
      <c r="F95" s="9" t="s">
        <v>29</v>
      </c>
    </row>
    <row r="96" spans="1:6" x14ac:dyDescent="0.2">
      <c r="A96" s="11" t="s">
        <v>41</v>
      </c>
      <c r="B96">
        <v>0</v>
      </c>
      <c r="C96" s="9" t="s">
        <v>7</v>
      </c>
      <c r="D96" s="9" t="s">
        <v>31</v>
      </c>
      <c r="E96" s="9">
        <v>140</v>
      </c>
      <c r="F96" s="9">
        <v>2.9360000000000001E-2</v>
      </c>
    </row>
    <row r="97" spans="1:6" x14ac:dyDescent="0.2">
      <c r="A97" s="11" t="s">
        <v>41</v>
      </c>
      <c r="B97">
        <v>0</v>
      </c>
      <c r="C97" s="9" t="s">
        <v>8</v>
      </c>
      <c r="D97" s="9" t="s">
        <v>31</v>
      </c>
      <c r="E97" s="9">
        <v>140</v>
      </c>
      <c r="F97" s="9" t="s">
        <v>29</v>
      </c>
    </row>
    <row r="98" spans="1:6" x14ac:dyDescent="0.2">
      <c r="A98" s="11" t="s">
        <v>41</v>
      </c>
      <c r="B98">
        <v>0</v>
      </c>
      <c r="C98" s="9" t="s">
        <v>6</v>
      </c>
      <c r="D98" s="9" t="s">
        <v>32</v>
      </c>
      <c r="E98" s="9">
        <v>0</v>
      </c>
      <c r="F98" s="9">
        <v>0.02</v>
      </c>
    </row>
    <row r="99" spans="1:6" x14ac:dyDescent="0.2">
      <c r="A99" s="11" t="s">
        <v>41</v>
      </c>
      <c r="B99">
        <v>0</v>
      </c>
      <c r="C99" s="9" t="s">
        <v>7</v>
      </c>
      <c r="D99" s="9" t="s">
        <v>32</v>
      </c>
      <c r="E99" s="9">
        <v>0</v>
      </c>
      <c r="F99" s="9" t="s">
        <v>29</v>
      </c>
    </row>
    <row r="100" spans="1:6" x14ac:dyDescent="0.2">
      <c r="A100" s="11" t="s">
        <v>41</v>
      </c>
      <c r="B100">
        <v>0</v>
      </c>
      <c r="C100" s="9" t="s">
        <v>8</v>
      </c>
      <c r="D100" s="9" t="s">
        <v>32</v>
      </c>
      <c r="E100" s="9">
        <v>0</v>
      </c>
      <c r="F100" s="9">
        <v>8.0000000000000002E-3</v>
      </c>
    </row>
    <row r="101" spans="1:6" x14ac:dyDescent="0.2">
      <c r="A101" s="11" t="s">
        <v>41</v>
      </c>
      <c r="B101">
        <v>0</v>
      </c>
      <c r="C101" s="9" t="s">
        <v>6</v>
      </c>
      <c r="D101" s="9" t="s">
        <v>32</v>
      </c>
      <c r="E101" s="9">
        <v>94</v>
      </c>
      <c r="F101" s="9">
        <v>2.0369999999999999</v>
      </c>
    </row>
    <row r="102" spans="1:6" x14ac:dyDescent="0.2">
      <c r="A102" s="11" t="s">
        <v>41</v>
      </c>
      <c r="B102">
        <v>0</v>
      </c>
      <c r="C102" s="9" t="s">
        <v>7</v>
      </c>
      <c r="D102" s="9" t="s">
        <v>32</v>
      </c>
      <c r="E102" s="9">
        <v>94</v>
      </c>
      <c r="F102" s="9">
        <v>1.669</v>
      </c>
    </row>
    <row r="103" spans="1:6" x14ac:dyDescent="0.2">
      <c r="A103" s="11" t="s">
        <v>41</v>
      </c>
      <c r="B103">
        <v>0</v>
      </c>
      <c r="C103" s="9" t="s">
        <v>8</v>
      </c>
      <c r="D103" s="9" t="s">
        <v>32</v>
      </c>
      <c r="E103" s="9">
        <v>94</v>
      </c>
      <c r="F103" s="9">
        <v>1.234</v>
      </c>
    </row>
    <row r="104" spans="1:6" x14ac:dyDescent="0.2">
      <c r="A104" s="11" t="s">
        <v>41</v>
      </c>
      <c r="B104">
        <v>0</v>
      </c>
      <c r="C104" s="9" t="s">
        <v>6</v>
      </c>
      <c r="D104" s="9" t="s">
        <v>32</v>
      </c>
      <c r="E104" s="9">
        <v>140</v>
      </c>
      <c r="F104" s="9">
        <v>1.1040000000000001</v>
      </c>
    </row>
    <row r="105" spans="1:6" x14ac:dyDescent="0.2">
      <c r="A105" s="11" t="s">
        <v>41</v>
      </c>
      <c r="B105">
        <v>0</v>
      </c>
      <c r="C105" s="9" t="s">
        <v>7</v>
      </c>
      <c r="D105" s="9" t="s">
        <v>32</v>
      </c>
      <c r="E105" s="9">
        <v>140</v>
      </c>
      <c r="F105" s="9">
        <v>1.905</v>
      </c>
    </row>
    <row r="106" spans="1:6" x14ac:dyDescent="0.2">
      <c r="A106" s="11" t="s">
        <v>41</v>
      </c>
      <c r="B106">
        <v>0</v>
      </c>
      <c r="C106" s="9" t="s">
        <v>8</v>
      </c>
      <c r="D106" s="9" t="s">
        <v>32</v>
      </c>
      <c r="E106" s="9">
        <v>140</v>
      </c>
      <c r="F106" s="9">
        <v>1.5209999999999999</v>
      </c>
    </row>
    <row r="107" spans="1:6" x14ac:dyDescent="0.2">
      <c r="A107" s="11" t="s">
        <v>41</v>
      </c>
      <c r="B107">
        <v>0</v>
      </c>
      <c r="C107" s="9" t="s">
        <v>6</v>
      </c>
      <c r="D107" s="9" t="s">
        <v>33</v>
      </c>
      <c r="E107" s="9">
        <v>0</v>
      </c>
      <c r="F107" s="9" t="s">
        <v>29</v>
      </c>
    </row>
    <row r="108" spans="1:6" x14ac:dyDescent="0.2">
      <c r="A108" s="11" t="s">
        <v>41</v>
      </c>
      <c r="B108">
        <v>0</v>
      </c>
      <c r="C108" s="9" t="s">
        <v>7</v>
      </c>
      <c r="D108" s="9" t="s">
        <v>33</v>
      </c>
      <c r="E108" s="9">
        <v>0</v>
      </c>
      <c r="F108" s="9" t="s">
        <v>29</v>
      </c>
    </row>
    <row r="109" spans="1:6" x14ac:dyDescent="0.2">
      <c r="A109" s="11" t="s">
        <v>41</v>
      </c>
      <c r="B109">
        <v>0</v>
      </c>
      <c r="C109" s="9" t="s">
        <v>8</v>
      </c>
      <c r="D109" s="9" t="s">
        <v>33</v>
      </c>
      <c r="E109" s="9">
        <v>0</v>
      </c>
      <c r="F109" s="9" t="s">
        <v>29</v>
      </c>
    </row>
    <row r="110" spans="1:6" x14ac:dyDescent="0.2">
      <c r="A110" s="11" t="s">
        <v>41</v>
      </c>
      <c r="B110">
        <v>0</v>
      </c>
      <c r="C110" s="9" t="s">
        <v>6</v>
      </c>
      <c r="D110" s="9" t="s">
        <v>33</v>
      </c>
      <c r="E110" s="9">
        <v>94</v>
      </c>
      <c r="F110" s="9">
        <v>5.8999999999999997E-2</v>
      </c>
    </row>
    <row r="111" spans="1:6" x14ac:dyDescent="0.2">
      <c r="A111" s="11" t="s">
        <v>41</v>
      </c>
      <c r="B111">
        <v>0</v>
      </c>
      <c r="C111" s="9" t="s">
        <v>7</v>
      </c>
      <c r="D111" s="9" t="s">
        <v>33</v>
      </c>
      <c r="E111" s="9">
        <v>94</v>
      </c>
      <c r="F111" s="9">
        <v>1.2999999999999999E-2</v>
      </c>
    </row>
    <row r="112" spans="1:6" x14ac:dyDescent="0.2">
      <c r="A112" s="11" t="s">
        <v>41</v>
      </c>
      <c r="B112">
        <v>0</v>
      </c>
      <c r="C112" s="9" t="s">
        <v>8</v>
      </c>
      <c r="D112" s="9" t="s">
        <v>33</v>
      </c>
      <c r="E112" s="9">
        <v>94</v>
      </c>
      <c r="F112" s="9">
        <v>1.7999999999999999E-2</v>
      </c>
    </row>
    <row r="113" spans="1:6" x14ac:dyDescent="0.2">
      <c r="A113" s="11" t="s">
        <v>41</v>
      </c>
      <c r="B113">
        <v>0</v>
      </c>
      <c r="C113" s="9" t="s">
        <v>6</v>
      </c>
      <c r="D113" s="9" t="s">
        <v>33</v>
      </c>
      <c r="E113" s="9">
        <v>140</v>
      </c>
      <c r="F113" s="9">
        <v>1.6E-2</v>
      </c>
    </row>
    <row r="114" spans="1:6" x14ac:dyDescent="0.2">
      <c r="A114" s="11" t="s">
        <v>41</v>
      </c>
      <c r="B114">
        <v>0</v>
      </c>
      <c r="C114" s="9" t="s">
        <v>7</v>
      </c>
      <c r="D114" s="9" t="s">
        <v>33</v>
      </c>
      <c r="E114" s="9">
        <v>140</v>
      </c>
      <c r="F114" s="9">
        <v>5.7000000000000002E-2</v>
      </c>
    </row>
    <row r="115" spans="1:6" x14ac:dyDescent="0.2">
      <c r="A115" s="11" t="s">
        <v>41</v>
      </c>
      <c r="B115">
        <v>0</v>
      </c>
      <c r="C115" s="9" t="s">
        <v>8</v>
      </c>
      <c r="D115" s="9" t="s">
        <v>33</v>
      </c>
      <c r="E115" s="9">
        <v>140</v>
      </c>
      <c r="F115" s="9">
        <v>0.03</v>
      </c>
    </row>
    <row r="116" spans="1:6" x14ac:dyDescent="0.2">
      <c r="A116" s="11" t="s">
        <v>41</v>
      </c>
      <c r="B116">
        <v>0</v>
      </c>
      <c r="C116" s="9" t="s">
        <v>6</v>
      </c>
      <c r="D116" s="9" t="s">
        <v>34</v>
      </c>
      <c r="E116" s="9">
        <v>0</v>
      </c>
      <c r="F116" s="9" t="s">
        <v>29</v>
      </c>
    </row>
    <row r="117" spans="1:6" x14ac:dyDescent="0.2">
      <c r="A117" s="11" t="s">
        <v>41</v>
      </c>
      <c r="B117">
        <v>0</v>
      </c>
      <c r="C117" s="9" t="s">
        <v>7</v>
      </c>
      <c r="D117" s="9" t="s">
        <v>34</v>
      </c>
      <c r="E117" s="9">
        <v>0</v>
      </c>
      <c r="F117" s="9" t="s">
        <v>29</v>
      </c>
    </row>
    <row r="118" spans="1:6" x14ac:dyDescent="0.2">
      <c r="A118" s="11" t="s">
        <v>41</v>
      </c>
      <c r="B118">
        <v>0</v>
      </c>
      <c r="C118" s="9" t="s">
        <v>8</v>
      </c>
      <c r="D118" s="9" t="s">
        <v>34</v>
      </c>
      <c r="E118" s="9">
        <v>0</v>
      </c>
      <c r="F118" s="9" t="s">
        <v>29</v>
      </c>
    </row>
    <row r="119" spans="1:6" x14ac:dyDescent="0.2">
      <c r="A119" s="11" t="s">
        <v>41</v>
      </c>
      <c r="B119">
        <v>0</v>
      </c>
      <c r="C119" s="9" t="s">
        <v>6</v>
      </c>
      <c r="D119" s="9" t="s">
        <v>34</v>
      </c>
      <c r="E119" s="9">
        <v>94</v>
      </c>
      <c r="F119" s="9" t="s">
        <v>29</v>
      </c>
    </row>
    <row r="120" spans="1:6" x14ac:dyDescent="0.2">
      <c r="A120" s="11" t="s">
        <v>41</v>
      </c>
      <c r="B120">
        <v>0</v>
      </c>
      <c r="C120" s="9" t="s">
        <v>7</v>
      </c>
      <c r="D120" s="9" t="s">
        <v>34</v>
      </c>
      <c r="E120" s="9">
        <v>94</v>
      </c>
      <c r="F120" s="9" t="s">
        <v>29</v>
      </c>
    </row>
    <row r="121" spans="1:6" x14ac:dyDescent="0.2">
      <c r="A121" s="11" t="s">
        <v>41</v>
      </c>
      <c r="B121">
        <v>0</v>
      </c>
      <c r="C121" s="9" t="s">
        <v>8</v>
      </c>
      <c r="D121" s="9" t="s">
        <v>34</v>
      </c>
      <c r="E121" s="9">
        <v>94</v>
      </c>
      <c r="F121" s="9" t="s">
        <v>29</v>
      </c>
    </row>
    <row r="122" spans="1:6" x14ac:dyDescent="0.2">
      <c r="A122" s="11" t="s">
        <v>41</v>
      </c>
      <c r="B122">
        <v>0</v>
      </c>
      <c r="C122" s="9" t="s">
        <v>6</v>
      </c>
      <c r="D122" s="9" t="s">
        <v>34</v>
      </c>
      <c r="E122" s="9">
        <v>140</v>
      </c>
      <c r="F122" s="9" t="s">
        <v>29</v>
      </c>
    </row>
    <row r="123" spans="1:6" x14ac:dyDescent="0.2">
      <c r="A123" s="11" t="s">
        <v>41</v>
      </c>
      <c r="B123">
        <v>0</v>
      </c>
      <c r="C123" s="9" t="s">
        <v>7</v>
      </c>
      <c r="D123" s="9" t="s">
        <v>34</v>
      </c>
      <c r="E123" s="9">
        <v>140</v>
      </c>
      <c r="F123" s="9" t="s">
        <v>29</v>
      </c>
    </row>
    <row r="124" spans="1:6" x14ac:dyDescent="0.2">
      <c r="A124" s="11" t="s">
        <v>41</v>
      </c>
      <c r="B124">
        <v>0</v>
      </c>
      <c r="C124" s="9" t="s">
        <v>8</v>
      </c>
      <c r="D124" s="9" t="s">
        <v>34</v>
      </c>
      <c r="E124" s="9">
        <v>140</v>
      </c>
      <c r="F124" s="9" t="s">
        <v>29</v>
      </c>
    </row>
    <row r="125" spans="1:6" x14ac:dyDescent="0.2">
      <c r="A125" s="11" t="s">
        <v>41</v>
      </c>
      <c r="B125">
        <v>0</v>
      </c>
      <c r="C125" s="9" t="s">
        <v>6</v>
      </c>
      <c r="D125" s="9" t="s">
        <v>35</v>
      </c>
      <c r="E125" s="9">
        <v>0</v>
      </c>
      <c r="F125" s="9" t="s">
        <v>29</v>
      </c>
    </row>
    <row r="126" spans="1:6" x14ac:dyDescent="0.2">
      <c r="A126" s="11" t="s">
        <v>41</v>
      </c>
      <c r="B126">
        <v>0</v>
      </c>
      <c r="C126" s="9" t="s">
        <v>7</v>
      </c>
      <c r="D126" s="9" t="s">
        <v>35</v>
      </c>
      <c r="E126" s="9">
        <v>0</v>
      </c>
      <c r="F126" s="9" t="s">
        <v>29</v>
      </c>
    </row>
    <row r="127" spans="1:6" x14ac:dyDescent="0.2">
      <c r="A127" s="11" t="s">
        <v>41</v>
      </c>
      <c r="B127">
        <v>0</v>
      </c>
      <c r="C127" s="9" t="s">
        <v>8</v>
      </c>
      <c r="D127" s="9" t="s">
        <v>35</v>
      </c>
      <c r="E127" s="9">
        <v>0</v>
      </c>
      <c r="F127" s="9" t="s">
        <v>29</v>
      </c>
    </row>
    <row r="128" spans="1:6" x14ac:dyDescent="0.2">
      <c r="A128" s="11" t="s">
        <v>41</v>
      </c>
      <c r="B128">
        <v>0</v>
      </c>
      <c r="C128" s="9" t="s">
        <v>6</v>
      </c>
      <c r="D128" s="9" t="s">
        <v>35</v>
      </c>
      <c r="E128" s="9">
        <v>94</v>
      </c>
      <c r="F128" s="9" t="s">
        <v>29</v>
      </c>
    </row>
    <row r="129" spans="1:6" x14ac:dyDescent="0.2">
      <c r="A129" s="11" t="s">
        <v>41</v>
      </c>
      <c r="B129">
        <v>0</v>
      </c>
      <c r="C129" s="9" t="s">
        <v>7</v>
      </c>
      <c r="D129" s="9" t="s">
        <v>35</v>
      </c>
      <c r="E129" s="9">
        <v>94</v>
      </c>
      <c r="F129" s="9" t="s">
        <v>29</v>
      </c>
    </row>
    <row r="130" spans="1:6" x14ac:dyDescent="0.2">
      <c r="A130" s="11" t="s">
        <v>41</v>
      </c>
      <c r="B130">
        <v>0</v>
      </c>
      <c r="C130" s="9" t="s">
        <v>8</v>
      </c>
      <c r="D130" s="9" t="s">
        <v>35</v>
      </c>
      <c r="E130" s="9">
        <v>94</v>
      </c>
      <c r="F130" s="9" t="s">
        <v>29</v>
      </c>
    </row>
    <row r="131" spans="1:6" x14ac:dyDescent="0.2">
      <c r="A131" s="11" t="s">
        <v>41</v>
      </c>
      <c r="B131">
        <v>0</v>
      </c>
      <c r="C131" s="9" t="s">
        <v>6</v>
      </c>
      <c r="D131" s="9" t="s">
        <v>35</v>
      </c>
      <c r="E131" s="9">
        <v>140</v>
      </c>
      <c r="F131" s="9" t="s">
        <v>29</v>
      </c>
    </row>
    <row r="132" spans="1:6" x14ac:dyDescent="0.2">
      <c r="A132" s="11" t="s">
        <v>41</v>
      </c>
      <c r="B132">
        <v>0</v>
      </c>
      <c r="C132" s="9" t="s">
        <v>7</v>
      </c>
      <c r="D132" s="9" t="s">
        <v>35</v>
      </c>
      <c r="E132" s="9">
        <v>140</v>
      </c>
      <c r="F132" s="9" t="s">
        <v>29</v>
      </c>
    </row>
    <row r="133" spans="1:6" x14ac:dyDescent="0.2">
      <c r="A133" s="11" t="s">
        <v>41</v>
      </c>
      <c r="B133">
        <v>0</v>
      </c>
      <c r="C133" s="9" t="s">
        <v>8</v>
      </c>
      <c r="D133" s="9" t="s">
        <v>35</v>
      </c>
      <c r="E133" s="9">
        <v>140</v>
      </c>
      <c r="F133" s="9" t="s">
        <v>29</v>
      </c>
    </row>
    <row r="134" spans="1:6" x14ac:dyDescent="0.2">
      <c r="A134" s="11" t="s">
        <v>41</v>
      </c>
      <c r="B134">
        <v>0</v>
      </c>
      <c r="C134" s="9" t="s">
        <v>6</v>
      </c>
      <c r="D134" s="9" t="s">
        <v>36</v>
      </c>
      <c r="E134" s="9">
        <v>0</v>
      </c>
      <c r="F134" s="9" t="s">
        <v>29</v>
      </c>
    </row>
    <row r="135" spans="1:6" x14ac:dyDescent="0.2">
      <c r="A135" s="11" t="s">
        <v>41</v>
      </c>
      <c r="B135">
        <v>0</v>
      </c>
      <c r="C135" s="9" t="s">
        <v>7</v>
      </c>
      <c r="D135" s="9" t="s">
        <v>36</v>
      </c>
      <c r="E135" s="9">
        <v>0</v>
      </c>
      <c r="F135" s="9" t="s">
        <v>29</v>
      </c>
    </row>
    <row r="136" spans="1:6" x14ac:dyDescent="0.2">
      <c r="A136" s="11" t="s">
        <v>41</v>
      </c>
      <c r="B136">
        <v>0</v>
      </c>
      <c r="C136" s="9" t="s">
        <v>8</v>
      </c>
      <c r="D136" s="9" t="s">
        <v>36</v>
      </c>
      <c r="E136" s="9">
        <v>0</v>
      </c>
      <c r="F136" s="9" t="s">
        <v>29</v>
      </c>
    </row>
    <row r="137" spans="1:6" x14ac:dyDescent="0.2">
      <c r="A137" s="11" t="s">
        <v>41</v>
      </c>
      <c r="B137">
        <v>0</v>
      </c>
      <c r="C137" s="9" t="s">
        <v>6</v>
      </c>
      <c r="D137" s="9" t="s">
        <v>36</v>
      </c>
      <c r="E137" s="9">
        <v>94</v>
      </c>
      <c r="F137" s="9">
        <v>6.452</v>
      </c>
    </row>
    <row r="138" spans="1:6" x14ac:dyDescent="0.2">
      <c r="A138" s="11" t="s">
        <v>41</v>
      </c>
      <c r="B138">
        <v>0</v>
      </c>
      <c r="C138" s="9" t="s">
        <v>7</v>
      </c>
      <c r="D138" s="9" t="s">
        <v>36</v>
      </c>
      <c r="E138" s="9">
        <v>94</v>
      </c>
      <c r="F138" s="9">
        <v>5.44</v>
      </c>
    </row>
    <row r="139" spans="1:6" x14ac:dyDescent="0.2">
      <c r="A139" s="11" t="s">
        <v>41</v>
      </c>
      <c r="B139">
        <v>0</v>
      </c>
      <c r="C139" s="9" t="s">
        <v>8</v>
      </c>
      <c r="D139" s="9" t="s">
        <v>36</v>
      </c>
      <c r="E139" s="9">
        <v>94</v>
      </c>
      <c r="F139" s="9">
        <v>4.0359999999999996</v>
      </c>
    </row>
    <row r="140" spans="1:6" x14ac:dyDescent="0.2">
      <c r="A140" s="11" t="s">
        <v>41</v>
      </c>
      <c r="B140">
        <v>0</v>
      </c>
      <c r="C140" s="9" t="s">
        <v>6</v>
      </c>
      <c r="D140" s="9" t="s">
        <v>36</v>
      </c>
      <c r="E140" s="9">
        <v>140</v>
      </c>
      <c r="F140" s="9">
        <v>4.5629999999999997</v>
      </c>
    </row>
    <row r="141" spans="1:6" x14ac:dyDescent="0.2">
      <c r="A141" s="11" t="s">
        <v>41</v>
      </c>
      <c r="B141">
        <v>0</v>
      </c>
      <c r="C141" s="9" t="s">
        <v>7</v>
      </c>
      <c r="D141" s="9" t="s">
        <v>36</v>
      </c>
      <c r="E141" s="9">
        <v>140</v>
      </c>
      <c r="F141" s="9">
        <v>6.4009999999999998</v>
      </c>
    </row>
    <row r="142" spans="1:6" x14ac:dyDescent="0.2">
      <c r="A142" s="11" t="s">
        <v>41</v>
      </c>
      <c r="B142">
        <v>0</v>
      </c>
      <c r="C142" s="9" t="s">
        <v>8</v>
      </c>
      <c r="D142" s="9" t="s">
        <v>36</v>
      </c>
      <c r="E142" s="9">
        <v>140</v>
      </c>
      <c r="F142" s="9">
        <v>5.1550000000000002</v>
      </c>
    </row>
    <row r="143" spans="1:6" x14ac:dyDescent="0.2">
      <c r="A143" s="11" t="s">
        <v>41</v>
      </c>
      <c r="B143">
        <v>0</v>
      </c>
      <c r="C143" s="9" t="s">
        <v>6</v>
      </c>
      <c r="D143" s="9" t="s">
        <v>37</v>
      </c>
      <c r="E143" s="9">
        <v>0</v>
      </c>
      <c r="F143" s="9" t="s">
        <v>29</v>
      </c>
    </row>
    <row r="144" spans="1:6" x14ac:dyDescent="0.2">
      <c r="A144" s="11" t="s">
        <v>41</v>
      </c>
      <c r="B144">
        <v>0</v>
      </c>
      <c r="C144" s="9" t="s">
        <v>7</v>
      </c>
      <c r="D144" s="9" t="s">
        <v>37</v>
      </c>
      <c r="E144" s="9">
        <v>0</v>
      </c>
      <c r="F144" s="9" t="s">
        <v>29</v>
      </c>
    </row>
    <row r="145" spans="1:6" x14ac:dyDescent="0.2">
      <c r="A145" s="11" t="s">
        <v>41</v>
      </c>
      <c r="B145">
        <v>0</v>
      </c>
      <c r="C145" s="9" t="s">
        <v>8</v>
      </c>
      <c r="D145" s="9" t="s">
        <v>37</v>
      </c>
      <c r="E145" s="9">
        <v>0</v>
      </c>
      <c r="F145" s="9" t="s">
        <v>29</v>
      </c>
    </row>
    <row r="146" spans="1:6" x14ac:dyDescent="0.2">
      <c r="A146" s="11" t="s">
        <v>41</v>
      </c>
      <c r="B146">
        <v>0</v>
      </c>
      <c r="C146" s="9" t="s">
        <v>6</v>
      </c>
      <c r="D146" s="9" t="s">
        <v>37</v>
      </c>
      <c r="E146" s="9">
        <v>94</v>
      </c>
      <c r="F146" s="9" t="s">
        <v>29</v>
      </c>
    </row>
    <row r="147" spans="1:6" x14ac:dyDescent="0.2">
      <c r="A147" s="11" t="s">
        <v>41</v>
      </c>
      <c r="B147">
        <v>0</v>
      </c>
      <c r="C147" s="9" t="s">
        <v>7</v>
      </c>
      <c r="D147" s="9" t="s">
        <v>37</v>
      </c>
      <c r="E147" s="9">
        <v>94</v>
      </c>
      <c r="F147" s="9" t="s">
        <v>29</v>
      </c>
    </row>
    <row r="148" spans="1:6" x14ac:dyDescent="0.2">
      <c r="A148" s="11" t="s">
        <v>41</v>
      </c>
      <c r="B148">
        <v>0</v>
      </c>
      <c r="C148" s="9" t="s">
        <v>8</v>
      </c>
      <c r="D148" s="9" t="s">
        <v>37</v>
      </c>
      <c r="E148" s="9">
        <v>94</v>
      </c>
      <c r="F148" s="9" t="s">
        <v>29</v>
      </c>
    </row>
    <row r="149" spans="1:6" x14ac:dyDescent="0.2">
      <c r="A149" s="11" t="s">
        <v>41</v>
      </c>
      <c r="B149">
        <v>0</v>
      </c>
      <c r="C149" s="9" t="s">
        <v>6</v>
      </c>
      <c r="D149" s="9" t="s">
        <v>37</v>
      </c>
      <c r="E149" s="9">
        <v>140</v>
      </c>
      <c r="F149" s="9" t="s">
        <v>29</v>
      </c>
    </row>
    <row r="150" spans="1:6" x14ac:dyDescent="0.2">
      <c r="A150" s="11" t="s">
        <v>41</v>
      </c>
      <c r="B150">
        <v>0</v>
      </c>
      <c r="C150" s="9" t="s">
        <v>7</v>
      </c>
      <c r="D150" s="9" t="s">
        <v>37</v>
      </c>
      <c r="E150" s="9">
        <v>140</v>
      </c>
      <c r="F150" s="9" t="s">
        <v>29</v>
      </c>
    </row>
    <row r="151" spans="1:6" x14ac:dyDescent="0.2">
      <c r="A151" s="11" t="s">
        <v>41</v>
      </c>
      <c r="B151">
        <v>0</v>
      </c>
      <c r="C151" s="9" t="s">
        <v>8</v>
      </c>
      <c r="D151" s="9" t="s">
        <v>37</v>
      </c>
      <c r="E151" s="9">
        <v>140</v>
      </c>
      <c r="F151" s="9" t="s">
        <v>29</v>
      </c>
    </row>
    <row r="152" spans="1:6" x14ac:dyDescent="0.2">
      <c r="A152" s="11" t="s">
        <v>41</v>
      </c>
      <c r="B152">
        <v>0</v>
      </c>
      <c r="C152" s="9" t="s">
        <v>6</v>
      </c>
      <c r="D152" s="9" t="s">
        <v>38</v>
      </c>
      <c r="E152" s="9">
        <v>0</v>
      </c>
      <c r="F152" s="9" t="s">
        <v>29</v>
      </c>
    </row>
    <row r="153" spans="1:6" x14ac:dyDescent="0.2">
      <c r="A153" s="11" t="s">
        <v>41</v>
      </c>
      <c r="B153">
        <v>0</v>
      </c>
      <c r="C153" s="9" t="s">
        <v>7</v>
      </c>
      <c r="D153" s="9" t="s">
        <v>38</v>
      </c>
      <c r="E153" s="9">
        <v>0</v>
      </c>
      <c r="F153" s="9" t="s">
        <v>29</v>
      </c>
    </row>
    <row r="154" spans="1:6" x14ac:dyDescent="0.2">
      <c r="A154" s="11" t="s">
        <v>41</v>
      </c>
      <c r="B154">
        <v>0</v>
      </c>
      <c r="C154" s="9" t="s">
        <v>8</v>
      </c>
      <c r="D154" s="9" t="s">
        <v>38</v>
      </c>
      <c r="E154" s="9">
        <v>0</v>
      </c>
      <c r="F154" s="9" t="s">
        <v>29</v>
      </c>
    </row>
    <row r="155" spans="1:6" x14ac:dyDescent="0.2">
      <c r="A155" s="11" t="s">
        <v>41</v>
      </c>
      <c r="B155">
        <v>0</v>
      </c>
      <c r="C155" s="9" t="s">
        <v>6</v>
      </c>
      <c r="D155" s="9" t="s">
        <v>38</v>
      </c>
      <c r="E155" s="9">
        <v>94</v>
      </c>
      <c r="F155" s="9">
        <v>8.5510000000000002</v>
      </c>
    </row>
    <row r="156" spans="1:6" x14ac:dyDescent="0.2">
      <c r="A156" s="11" t="s">
        <v>41</v>
      </c>
      <c r="B156">
        <v>0</v>
      </c>
      <c r="C156" s="9" t="s">
        <v>7</v>
      </c>
      <c r="D156" s="9" t="s">
        <v>38</v>
      </c>
      <c r="E156" s="9">
        <v>94</v>
      </c>
      <c r="F156" s="9">
        <v>7.3239999999999998</v>
      </c>
    </row>
    <row r="157" spans="1:6" x14ac:dyDescent="0.2">
      <c r="A157" s="11" t="s">
        <v>41</v>
      </c>
      <c r="B157">
        <v>0</v>
      </c>
      <c r="C157" s="9" t="s">
        <v>8</v>
      </c>
      <c r="D157" s="9" t="s">
        <v>38</v>
      </c>
      <c r="E157" s="9">
        <v>94</v>
      </c>
      <c r="F157" s="9">
        <v>5.6619999999999999</v>
      </c>
    </row>
    <row r="158" spans="1:6" x14ac:dyDescent="0.2">
      <c r="A158" s="11" t="s">
        <v>41</v>
      </c>
      <c r="B158">
        <v>0</v>
      </c>
      <c r="C158" s="9" t="s">
        <v>6</v>
      </c>
      <c r="D158" s="9" t="s">
        <v>38</v>
      </c>
      <c r="E158" s="9">
        <v>140</v>
      </c>
      <c r="F158" s="9">
        <v>8.76</v>
      </c>
    </row>
    <row r="159" spans="1:6" x14ac:dyDescent="0.2">
      <c r="A159" s="11" t="s">
        <v>41</v>
      </c>
      <c r="B159">
        <v>0</v>
      </c>
      <c r="C159" s="9" t="s">
        <v>7</v>
      </c>
      <c r="D159" s="9" t="s">
        <v>38</v>
      </c>
      <c r="E159" s="9">
        <v>140</v>
      </c>
      <c r="F159" s="9">
        <v>10.821</v>
      </c>
    </row>
    <row r="160" spans="1:6" x14ac:dyDescent="0.2">
      <c r="A160" s="11" t="s">
        <v>41</v>
      </c>
      <c r="B160">
        <v>0</v>
      </c>
      <c r="C160" s="9" t="s">
        <v>8</v>
      </c>
      <c r="D160" s="9" t="s">
        <v>38</v>
      </c>
      <c r="E160" s="9">
        <v>140</v>
      </c>
      <c r="F160" s="9">
        <v>9.8070000000000004</v>
      </c>
    </row>
    <row r="161" spans="1:6" x14ac:dyDescent="0.2">
      <c r="A161" s="11" t="s">
        <v>41</v>
      </c>
      <c r="B161" s="11">
        <v>0</v>
      </c>
      <c r="C161" t="s">
        <v>6</v>
      </c>
      <c r="D161" s="11" t="s">
        <v>18</v>
      </c>
      <c r="E161" s="9">
        <v>0</v>
      </c>
      <c r="F161" s="9">
        <v>0.39300000000000002</v>
      </c>
    </row>
    <row r="162" spans="1:6" x14ac:dyDescent="0.2">
      <c r="A162" s="11" t="s">
        <v>41</v>
      </c>
      <c r="B162" s="11">
        <v>0</v>
      </c>
      <c r="C162" t="s">
        <v>7</v>
      </c>
      <c r="D162" s="11" t="s">
        <v>18</v>
      </c>
      <c r="E162" s="9">
        <v>0</v>
      </c>
      <c r="F162" s="9">
        <v>0.34799999999999998</v>
      </c>
    </row>
    <row r="163" spans="1:6" x14ac:dyDescent="0.2">
      <c r="A163" s="11" t="s">
        <v>41</v>
      </c>
      <c r="B163" s="11">
        <v>0</v>
      </c>
      <c r="C163" t="s">
        <v>8</v>
      </c>
      <c r="D163" s="11" t="s">
        <v>18</v>
      </c>
      <c r="E163" s="9">
        <v>0</v>
      </c>
      <c r="F163" s="9">
        <v>0.28999999999999998</v>
      </c>
    </row>
    <row r="164" spans="1:6" x14ac:dyDescent="0.2">
      <c r="A164" s="11" t="s">
        <v>41</v>
      </c>
      <c r="B164" s="11">
        <v>0</v>
      </c>
      <c r="C164" t="s">
        <v>6</v>
      </c>
      <c r="D164" s="11" t="s">
        <v>18</v>
      </c>
      <c r="E164" s="9">
        <v>140</v>
      </c>
      <c r="F164" s="9">
        <v>1.845</v>
      </c>
    </row>
    <row r="165" spans="1:6" x14ac:dyDescent="0.2">
      <c r="A165" s="11" t="s">
        <v>41</v>
      </c>
      <c r="B165" s="11">
        <v>0</v>
      </c>
      <c r="C165" t="s">
        <v>7</v>
      </c>
      <c r="D165" s="11" t="s">
        <v>18</v>
      </c>
      <c r="E165" s="9">
        <v>140</v>
      </c>
      <c r="F165" s="9">
        <v>3.2639999999999998</v>
      </c>
    </row>
    <row r="166" spans="1:6" x14ac:dyDescent="0.2">
      <c r="A166" s="11" t="s">
        <v>41</v>
      </c>
      <c r="B166" s="11">
        <v>0</v>
      </c>
      <c r="C166" t="s">
        <v>8</v>
      </c>
      <c r="D166" s="11" t="s">
        <v>18</v>
      </c>
      <c r="E166" s="9">
        <v>140</v>
      </c>
      <c r="F166" s="9">
        <v>3.1219999999999999</v>
      </c>
    </row>
    <row r="167" spans="1:6" x14ac:dyDescent="0.2">
      <c r="A167" t="s">
        <v>41</v>
      </c>
      <c r="B167">
        <v>0</v>
      </c>
      <c r="C167" t="s">
        <v>6</v>
      </c>
      <c r="D167" t="s">
        <v>40</v>
      </c>
      <c r="E167">
        <v>140</v>
      </c>
      <c r="F167">
        <v>0</v>
      </c>
    </row>
    <row r="168" spans="1:6" x14ac:dyDescent="0.2">
      <c r="A168" t="s">
        <v>41</v>
      </c>
      <c r="B168">
        <v>0</v>
      </c>
      <c r="C168" t="s">
        <v>7</v>
      </c>
      <c r="D168" t="s">
        <v>40</v>
      </c>
      <c r="E168">
        <v>140</v>
      </c>
      <c r="F168">
        <v>0</v>
      </c>
    </row>
    <row r="169" spans="1:6" x14ac:dyDescent="0.2">
      <c r="A169" t="s">
        <v>41</v>
      </c>
      <c r="B169">
        <v>0</v>
      </c>
      <c r="C169" t="s">
        <v>8</v>
      </c>
      <c r="D169" t="s">
        <v>40</v>
      </c>
      <c r="E169">
        <v>140</v>
      </c>
      <c r="F169">
        <v>0</v>
      </c>
    </row>
    <row r="170" spans="1:6" x14ac:dyDescent="0.2">
      <c r="A170" t="s">
        <v>42</v>
      </c>
      <c r="B170">
        <v>0.25</v>
      </c>
      <c r="C170" t="s">
        <v>6</v>
      </c>
      <c r="D170" t="s">
        <v>0</v>
      </c>
      <c r="E170">
        <v>0</v>
      </c>
      <c r="F170">
        <v>2.1999999999999999E-2</v>
      </c>
    </row>
    <row r="171" spans="1:6" x14ac:dyDescent="0.2">
      <c r="A171" t="s">
        <v>42</v>
      </c>
      <c r="B171">
        <v>0.25</v>
      </c>
      <c r="C171" t="s">
        <v>7</v>
      </c>
      <c r="D171" t="s">
        <v>0</v>
      </c>
      <c r="E171">
        <v>0</v>
      </c>
      <c r="F171">
        <v>0.02</v>
      </c>
    </row>
    <row r="172" spans="1:6" x14ac:dyDescent="0.2">
      <c r="A172" t="s">
        <v>42</v>
      </c>
      <c r="B172">
        <v>0.25</v>
      </c>
      <c r="C172" t="s">
        <v>8</v>
      </c>
      <c r="D172" t="s">
        <v>0</v>
      </c>
      <c r="E172">
        <v>0</v>
      </c>
      <c r="F172">
        <v>2.3E-2</v>
      </c>
    </row>
    <row r="173" spans="1:6" x14ac:dyDescent="0.2">
      <c r="A173" t="s">
        <v>42</v>
      </c>
      <c r="B173">
        <v>0.5</v>
      </c>
      <c r="C173" t="s">
        <v>6</v>
      </c>
      <c r="D173" t="s">
        <v>0</v>
      </c>
      <c r="E173">
        <v>0</v>
      </c>
      <c r="F173">
        <v>0.02</v>
      </c>
    </row>
    <row r="174" spans="1:6" x14ac:dyDescent="0.2">
      <c r="A174" t="s">
        <v>42</v>
      </c>
      <c r="B174">
        <v>0.5</v>
      </c>
      <c r="C174" t="s">
        <v>7</v>
      </c>
      <c r="D174" t="s">
        <v>0</v>
      </c>
      <c r="E174">
        <v>0</v>
      </c>
      <c r="F174">
        <v>2.3E-2</v>
      </c>
    </row>
    <row r="175" spans="1:6" x14ac:dyDescent="0.2">
      <c r="A175" t="s">
        <v>42</v>
      </c>
      <c r="B175">
        <v>0.5</v>
      </c>
      <c r="C175" t="s">
        <v>8</v>
      </c>
      <c r="D175" t="s">
        <v>0</v>
      </c>
      <c r="E175">
        <v>0</v>
      </c>
      <c r="F175">
        <v>2.1000000000000001E-2</v>
      </c>
    </row>
    <row r="176" spans="1:6" x14ac:dyDescent="0.2">
      <c r="A176" t="s">
        <v>42</v>
      </c>
      <c r="B176">
        <v>1</v>
      </c>
      <c r="C176" t="s">
        <v>6</v>
      </c>
      <c r="D176" t="s">
        <v>0</v>
      </c>
      <c r="E176">
        <v>0</v>
      </c>
      <c r="F176">
        <v>2.5999999999999999E-2</v>
      </c>
    </row>
    <row r="177" spans="1:6" x14ac:dyDescent="0.2">
      <c r="A177" t="s">
        <v>42</v>
      </c>
      <c r="B177">
        <v>1</v>
      </c>
      <c r="C177" t="s">
        <v>7</v>
      </c>
      <c r="D177" t="s">
        <v>0</v>
      </c>
      <c r="E177">
        <v>0</v>
      </c>
      <c r="F177">
        <v>1.7999999999999999E-2</v>
      </c>
    </row>
    <row r="178" spans="1:6" x14ac:dyDescent="0.2">
      <c r="A178" t="s">
        <v>42</v>
      </c>
      <c r="B178">
        <v>1</v>
      </c>
      <c r="C178" t="s">
        <v>8</v>
      </c>
      <c r="D178" t="s">
        <v>0</v>
      </c>
      <c r="E178">
        <v>0</v>
      </c>
      <c r="F178">
        <v>0.02</v>
      </c>
    </row>
    <row r="179" spans="1:6" x14ac:dyDescent="0.2">
      <c r="A179" t="s">
        <v>42</v>
      </c>
      <c r="B179">
        <v>1.5</v>
      </c>
      <c r="C179" t="s">
        <v>6</v>
      </c>
      <c r="D179" t="s">
        <v>0</v>
      </c>
      <c r="E179">
        <v>0</v>
      </c>
      <c r="F179">
        <v>2.5999999999999999E-2</v>
      </c>
    </row>
    <row r="180" spans="1:6" x14ac:dyDescent="0.2">
      <c r="A180" t="s">
        <v>42</v>
      </c>
      <c r="B180">
        <v>1.5</v>
      </c>
      <c r="C180" t="s">
        <v>7</v>
      </c>
      <c r="D180" t="s">
        <v>0</v>
      </c>
      <c r="E180">
        <v>0</v>
      </c>
      <c r="F180">
        <v>2.8000000000000001E-2</v>
      </c>
    </row>
    <row r="181" spans="1:6" x14ac:dyDescent="0.2">
      <c r="A181" t="s">
        <v>42</v>
      </c>
      <c r="B181">
        <v>1.5</v>
      </c>
      <c r="C181" t="s">
        <v>8</v>
      </c>
      <c r="D181" t="s">
        <v>0</v>
      </c>
      <c r="E181">
        <v>0</v>
      </c>
      <c r="F181">
        <v>2.8000000000000001E-2</v>
      </c>
    </row>
    <row r="182" spans="1:6" x14ac:dyDescent="0.2">
      <c r="A182" t="s">
        <v>42</v>
      </c>
      <c r="B182">
        <v>0</v>
      </c>
      <c r="C182" t="s">
        <v>6</v>
      </c>
      <c r="D182" t="s">
        <v>0</v>
      </c>
      <c r="E182">
        <v>0</v>
      </c>
      <c r="F182">
        <v>2.8000000000000001E-2</v>
      </c>
    </row>
    <row r="183" spans="1:6" x14ac:dyDescent="0.2">
      <c r="A183" t="s">
        <v>42</v>
      </c>
      <c r="B183">
        <v>0</v>
      </c>
      <c r="C183" t="s">
        <v>7</v>
      </c>
      <c r="D183" t="s">
        <v>0</v>
      </c>
      <c r="E183">
        <v>0</v>
      </c>
      <c r="F183">
        <v>2.5999999999999999E-2</v>
      </c>
    </row>
    <row r="184" spans="1:6" x14ac:dyDescent="0.2">
      <c r="A184" t="s">
        <v>42</v>
      </c>
      <c r="B184">
        <v>0</v>
      </c>
      <c r="C184" t="s">
        <v>8</v>
      </c>
      <c r="D184" t="s">
        <v>0</v>
      </c>
      <c r="E184">
        <v>0</v>
      </c>
      <c r="F184">
        <v>2.5000000000000001E-2</v>
      </c>
    </row>
    <row r="185" spans="1:6" x14ac:dyDescent="0.2">
      <c r="A185" t="s">
        <v>42</v>
      </c>
      <c r="B185">
        <v>0.25</v>
      </c>
      <c r="C185" t="s">
        <v>6</v>
      </c>
      <c r="D185" t="s">
        <v>0</v>
      </c>
      <c r="E185">
        <v>17</v>
      </c>
      <c r="F185">
        <v>3.1E-2</v>
      </c>
    </row>
    <row r="186" spans="1:6" x14ac:dyDescent="0.2">
      <c r="A186" t="s">
        <v>42</v>
      </c>
      <c r="B186">
        <v>0.25</v>
      </c>
      <c r="C186" t="s">
        <v>7</v>
      </c>
      <c r="D186" t="s">
        <v>0</v>
      </c>
      <c r="E186">
        <v>17</v>
      </c>
      <c r="F186">
        <v>2.5000000000000001E-2</v>
      </c>
    </row>
    <row r="187" spans="1:6" x14ac:dyDescent="0.2">
      <c r="A187" t="s">
        <v>42</v>
      </c>
      <c r="B187">
        <v>0.25</v>
      </c>
      <c r="C187" t="s">
        <v>8</v>
      </c>
      <c r="D187" t="s">
        <v>0</v>
      </c>
      <c r="E187">
        <v>17</v>
      </c>
      <c r="F187">
        <v>0.04</v>
      </c>
    </row>
    <row r="188" spans="1:6" x14ac:dyDescent="0.2">
      <c r="A188" t="s">
        <v>42</v>
      </c>
      <c r="B188">
        <v>0.5</v>
      </c>
      <c r="C188" t="s">
        <v>6</v>
      </c>
      <c r="D188" t="s">
        <v>0</v>
      </c>
      <c r="E188">
        <v>17</v>
      </c>
      <c r="F188">
        <v>3.4000000000000002E-2</v>
      </c>
    </row>
    <row r="189" spans="1:6" x14ac:dyDescent="0.2">
      <c r="A189" t="s">
        <v>42</v>
      </c>
      <c r="B189">
        <v>0.5</v>
      </c>
      <c r="C189" t="s">
        <v>7</v>
      </c>
      <c r="D189" t="s">
        <v>0</v>
      </c>
      <c r="E189">
        <v>17</v>
      </c>
      <c r="F189">
        <v>3.7999999999999999E-2</v>
      </c>
    </row>
    <row r="190" spans="1:6" x14ac:dyDescent="0.2">
      <c r="A190" t="s">
        <v>42</v>
      </c>
      <c r="B190">
        <v>0.5</v>
      </c>
      <c r="C190" t="s">
        <v>8</v>
      </c>
      <c r="D190" t="s">
        <v>0</v>
      </c>
      <c r="E190">
        <v>17</v>
      </c>
      <c r="F190">
        <v>2.8000000000000001E-2</v>
      </c>
    </row>
    <row r="191" spans="1:6" x14ac:dyDescent="0.2">
      <c r="A191" t="s">
        <v>42</v>
      </c>
      <c r="B191">
        <v>1</v>
      </c>
      <c r="C191" t="s">
        <v>6</v>
      </c>
      <c r="D191" t="s">
        <v>0</v>
      </c>
      <c r="E191">
        <v>17</v>
      </c>
      <c r="F191">
        <v>4.7E-2</v>
      </c>
    </row>
    <row r="192" spans="1:6" x14ac:dyDescent="0.2">
      <c r="A192" t="s">
        <v>42</v>
      </c>
      <c r="B192">
        <v>1</v>
      </c>
      <c r="C192" t="s">
        <v>7</v>
      </c>
      <c r="D192" t="s">
        <v>0</v>
      </c>
      <c r="E192">
        <v>17</v>
      </c>
      <c r="F192">
        <v>0.03</v>
      </c>
    </row>
    <row r="193" spans="1:6" x14ac:dyDescent="0.2">
      <c r="A193" t="s">
        <v>42</v>
      </c>
      <c r="B193">
        <v>1</v>
      </c>
      <c r="C193" t="s">
        <v>8</v>
      </c>
      <c r="D193" t="s">
        <v>0</v>
      </c>
      <c r="E193">
        <v>17</v>
      </c>
      <c r="F193">
        <v>0.03</v>
      </c>
    </row>
    <row r="194" spans="1:6" x14ac:dyDescent="0.2">
      <c r="A194" t="s">
        <v>42</v>
      </c>
      <c r="B194">
        <v>1.5</v>
      </c>
      <c r="C194" t="s">
        <v>6</v>
      </c>
      <c r="D194" t="s">
        <v>0</v>
      </c>
      <c r="E194">
        <v>17</v>
      </c>
      <c r="F194">
        <v>0.04</v>
      </c>
    </row>
    <row r="195" spans="1:6" x14ac:dyDescent="0.2">
      <c r="A195" t="s">
        <v>42</v>
      </c>
      <c r="B195">
        <v>1.5</v>
      </c>
      <c r="C195" t="s">
        <v>7</v>
      </c>
      <c r="D195" t="s">
        <v>0</v>
      </c>
      <c r="E195">
        <v>17</v>
      </c>
      <c r="F195">
        <v>3.1E-2</v>
      </c>
    </row>
    <row r="196" spans="1:6" x14ac:dyDescent="0.2">
      <c r="A196" t="s">
        <v>42</v>
      </c>
      <c r="B196">
        <v>1.5</v>
      </c>
      <c r="C196" t="s">
        <v>8</v>
      </c>
      <c r="D196" t="s">
        <v>0</v>
      </c>
      <c r="E196">
        <v>17</v>
      </c>
      <c r="F196">
        <v>4.5999999999999999E-2</v>
      </c>
    </row>
    <row r="197" spans="1:6" x14ac:dyDescent="0.2">
      <c r="A197" t="s">
        <v>42</v>
      </c>
      <c r="B197">
        <v>0</v>
      </c>
      <c r="C197" t="s">
        <v>6</v>
      </c>
      <c r="D197" t="s">
        <v>0</v>
      </c>
      <c r="E197">
        <v>17</v>
      </c>
      <c r="F197">
        <v>0.22</v>
      </c>
    </row>
    <row r="198" spans="1:6" x14ac:dyDescent="0.2">
      <c r="A198" t="s">
        <v>42</v>
      </c>
      <c r="B198">
        <v>0</v>
      </c>
      <c r="C198" t="s">
        <v>7</v>
      </c>
      <c r="D198" t="s">
        <v>0</v>
      </c>
      <c r="E198">
        <v>17</v>
      </c>
      <c r="F198">
        <v>0.17199999999999999</v>
      </c>
    </row>
    <row r="199" spans="1:6" x14ac:dyDescent="0.2">
      <c r="A199" t="s">
        <v>42</v>
      </c>
      <c r="B199">
        <v>0</v>
      </c>
      <c r="C199" t="s">
        <v>8</v>
      </c>
      <c r="D199" t="s">
        <v>0</v>
      </c>
      <c r="E199">
        <v>17</v>
      </c>
      <c r="F199">
        <v>0.17599999999999999</v>
      </c>
    </row>
    <row r="200" spans="1:6" x14ac:dyDescent="0.2">
      <c r="A200" t="s">
        <v>42</v>
      </c>
      <c r="B200">
        <v>0.25</v>
      </c>
      <c r="C200" t="s">
        <v>6</v>
      </c>
      <c r="D200" t="s">
        <v>0</v>
      </c>
      <c r="E200">
        <v>22</v>
      </c>
      <c r="F200">
        <v>3.1E-2</v>
      </c>
    </row>
    <row r="201" spans="1:6" x14ac:dyDescent="0.2">
      <c r="A201" t="s">
        <v>42</v>
      </c>
      <c r="B201">
        <v>0.25</v>
      </c>
      <c r="C201" t="s">
        <v>7</v>
      </c>
      <c r="D201" t="s">
        <v>0</v>
      </c>
      <c r="E201">
        <v>22</v>
      </c>
      <c r="F201">
        <v>2.8000000000000001E-2</v>
      </c>
    </row>
    <row r="202" spans="1:6" x14ac:dyDescent="0.2">
      <c r="A202" t="s">
        <v>42</v>
      </c>
      <c r="B202">
        <v>0.25</v>
      </c>
      <c r="C202" t="s">
        <v>8</v>
      </c>
      <c r="D202" t="s">
        <v>0</v>
      </c>
      <c r="E202">
        <v>22</v>
      </c>
      <c r="F202">
        <v>4.5999999999999999E-2</v>
      </c>
    </row>
    <row r="203" spans="1:6" x14ac:dyDescent="0.2">
      <c r="A203" t="s">
        <v>42</v>
      </c>
      <c r="B203">
        <v>0.5</v>
      </c>
      <c r="C203" t="s">
        <v>6</v>
      </c>
      <c r="D203" t="s">
        <v>0</v>
      </c>
      <c r="E203">
        <v>22</v>
      </c>
      <c r="F203">
        <v>0.03</v>
      </c>
    </row>
    <row r="204" spans="1:6" x14ac:dyDescent="0.2">
      <c r="A204" t="s">
        <v>42</v>
      </c>
      <c r="B204">
        <v>0.5</v>
      </c>
      <c r="C204" t="s">
        <v>7</v>
      </c>
      <c r="D204" t="s">
        <v>0</v>
      </c>
      <c r="E204">
        <v>22</v>
      </c>
      <c r="F204">
        <v>3.7999999999999999E-2</v>
      </c>
    </row>
    <row r="205" spans="1:6" x14ac:dyDescent="0.2">
      <c r="A205" t="s">
        <v>42</v>
      </c>
      <c r="B205">
        <v>0.5</v>
      </c>
      <c r="C205" t="s">
        <v>8</v>
      </c>
      <c r="D205" t="s">
        <v>0</v>
      </c>
      <c r="E205">
        <v>22</v>
      </c>
      <c r="F205">
        <v>3.3000000000000002E-2</v>
      </c>
    </row>
    <row r="206" spans="1:6" x14ac:dyDescent="0.2">
      <c r="A206" t="s">
        <v>42</v>
      </c>
      <c r="B206">
        <v>1</v>
      </c>
      <c r="C206" t="s">
        <v>6</v>
      </c>
      <c r="D206" t="s">
        <v>0</v>
      </c>
      <c r="E206">
        <v>22</v>
      </c>
      <c r="F206">
        <v>6.6000000000000003E-2</v>
      </c>
    </row>
    <row r="207" spans="1:6" x14ac:dyDescent="0.2">
      <c r="A207" t="s">
        <v>42</v>
      </c>
      <c r="B207">
        <v>1</v>
      </c>
      <c r="C207" t="s">
        <v>7</v>
      </c>
      <c r="D207" t="s">
        <v>0</v>
      </c>
      <c r="E207">
        <v>22</v>
      </c>
      <c r="F207">
        <v>3.6999999999999998E-2</v>
      </c>
    </row>
    <row r="208" spans="1:6" x14ac:dyDescent="0.2">
      <c r="A208" t="s">
        <v>42</v>
      </c>
      <c r="B208">
        <v>1</v>
      </c>
      <c r="C208" t="s">
        <v>8</v>
      </c>
      <c r="D208" t="s">
        <v>0</v>
      </c>
      <c r="E208">
        <v>22</v>
      </c>
      <c r="F208">
        <v>3.9E-2</v>
      </c>
    </row>
    <row r="209" spans="1:6" x14ac:dyDescent="0.2">
      <c r="A209" t="s">
        <v>42</v>
      </c>
      <c r="B209">
        <v>1.5</v>
      </c>
      <c r="C209" t="s">
        <v>6</v>
      </c>
      <c r="D209" t="s">
        <v>0</v>
      </c>
      <c r="E209">
        <v>22</v>
      </c>
      <c r="F209">
        <v>4.4999999999999998E-2</v>
      </c>
    </row>
    <row r="210" spans="1:6" x14ac:dyDescent="0.2">
      <c r="A210" t="s">
        <v>42</v>
      </c>
      <c r="B210">
        <v>1.5</v>
      </c>
      <c r="C210" t="s">
        <v>7</v>
      </c>
      <c r="D210" t="s">
        <v>0</v>
      </c>
      <c r="E210">
        <v>22</v>
      </c>
      <c r="F210">
        <v>3.5999999999999997E-2</v>
      </c>
    </row>
    <row r="211" spans="1:6" x14ac:dyDescent="0.2">
      <c r="A211" t="s">
        <v>42</v>
      </c>
      <c r="B211">
        <v>1.5</v>
      </c>
      <c r="C211" t="s">
        <v>8</v>
      </c>
      <c r="D211" t="s">
        <v>0</v>
      </c>
      <c r="E211">
        <v>22</v>
      </c>
      <c r="F211">
        <v>5.7000000000000002E-2</v>
      </c>
    </row>
    <row r="212" spans="1:6" x14ac:dyDescent="0.2">
      <c r="A212" t="s">
        <v>42</v>
      </c>
      <c r="B212">
        <v>0</v>
      </c>
      <c r="C212" t="s">
        <v>6</v>
      </c>
      <c r="D212" t="s">
        <v>0</v>
      </c>
      <c r="E212">
        <v>22</v>
      </c>
      <c r="F212">
        <v>0.24099999999999999</v>
      </c>
    </row>
    <row r="213" spans="1:6" x14ac:dyDescent="0.2">
      <c r="A213" t="s">
        <v>42</v>
      </c>
      <c r="B213">
        <v>0</v>
      </c>
      <c r="C213" t="s">
        <v>7</v>
      </c>
      <c r="D213" t="s">
        <v>0</v>
      </c>
      <c r="E213">
        <v>22</v>
      </c>
      <c r="F213">
        <v>0.23899999999999999</v>
      </c>
    </row>
    <row r="214" spans="1:6" x14ac:dyDescent="0.2">
      <c r="A214" t="s">
        <v>42</v>
      </c>
      <c r="B214">
        <v>0</v>
      </c>
      <c r="C214" t="s">
        <v>8</v>
      </c>
      <c r="D214" t="s">
        <v>0</v>
      </c>
      <c r="E214">
        <v>22</v>
      </c>
      <c r="F214">
        <v>0.27200000000000002</v>
      </c>
    </row>
    <row r="215" spans="1:6" x14ac:dyDescent="0.2">
      <c r="A215" t="s">
        <v>42</v>
      </c>
      <c r="B215">
        <v>0.25</v>
      </c>
      <c r="C215" t="s">
        <v>6</v>
      </c>
      <c r="D215" t="s">
        <v>0</v>
      </c>
      <c r="E215">
        <v>27</v>
      </c>
      <c r="F215">
        <v>3.2000000000000001E-2</v>
      </c>
    </row>
    <row r="216" spans="1:6" x14ac:dyDescent="0.2">
      <c r="A216" t="s">
        <v>42</v>
      </c>
      <c r="B216">
        <v>0.25</v>
      </c>
      <c r="C216" t="s">
        <v>7</v>
      </c>
      <c r="D216" t="s">
        <v>0</v>
      </c>
      <c r="E216">
        <v>27</v>
      </c>
      <c r="F216">
        <v>3.4000000000000002E-2</v>
      </c>
    </row>
    <row r="217" spans="1:6" x14ac:dyDescent="0.2">
      <c r="A217" t="s">
        <v>42</v>
      </c>
      <c r="B217">
        <v>0.25</v>
      </c>
      <c r="C217" t="s">
        <v>8</v>
      </c>
      <c r="D217" t="s">
        <v>0</v>
      </c>
      <c r="E217">
        <v>27</v>
      </c>
      <c r="F217">
        <v>5.3999999999999999E-2</v>
      </c>
    </row>
    <row r="218" spans="1:6" x14ac:dyDescent="0.2">
      <c r="A218" t="s">
        <v>42</v>
      </c>
      <c r="B218">
        <v>0.5</v>
      </c>
      <c r="C218" t="s">
        <v>6</v>
      </c>
      <c r="D218" t="s">
        <v>0</v>
      </c>
      <c r="E218">
        <v>27</v>
      </c>
      <c r="F218">
        <v>3.5000000000000003E-2</v>
      </c>
    </row>
    <row r="219" spans="1:6" x14ac:dyDescent="0.2">
      <c r="A219" t="s">
        <v>42</v>
      </c>
      <c r="B219">
        <v>0.5</v>
      </c>
      <c r="C219" t="s">
        <v>7</v>
      </c>
      <c r="D219" t="s">
        <v>0</v>
      </c>
      <c r="E219">
        <v>27</v>
      </c>
      <c r="F219">
        <v>4.9000000000000002E-2</v>
      </c>
    </row>
    <row r="220" spans="1:6" x14ac:dyDescent="0.2">
      <c r="A220" t="s">
        <v>42</v>
      </c>
      <c r="B220">
        <v>0.5</v>
      </c>
      <c r="C220" t="s">
        <v>8</v>
      </c>
      <c r="D220" t="s">
        <v>0</v>
      </c>
      <c r="E220">
        <v>27</v>
      </c>
      <c r="F220">
        <v>0.04</v>
      </c>
    </row>
    <row r="221" spans="1:6" x14ac:dyDescent="0.2">
      <c r="A221" t="s">
        <v>42</v>
      </c>
      <c r="B221">
        <v>1</v>
      </c>
      <c r="C221" t="s">
        <v>6</v>
      </c>
      <c r="D221" t="s">
        <v>0</v>
      </c>
      <c r="E221">
        <v>27</v>
      </c>
      <c r="F221">
        <v>0.09</v>
      </c>
    </row>
    <row r="222" spans="1:6" x14ac:dyDescent="0.2">
      <c r="A222" t="s">
        <v>42</v>
      </c>
      <c r="B222">
        <v>1</v>
      </c>
      <c r="C222" t="s">
        <v>7</v>
      </c>
      <c r="D222" t="s">
        <v>0</v>
      </c>
      <c r="E222">
        <v>27</v>
      </c>
      <c r="F222">
        <v>4.8000000000000001E-2</v>
      </c>
    </row>
    <row r="223" spans="1:6" x14ac:dyDescent="0.2">
      <c r="A223" t="s">
        <v>42</v>
      </c>
      <c r="B223">
        <v>1</v>
      </c>
      <c r="C223" t="s">
        <v>8</v>
      </c>
      <c r="D223" t="s">
        <v>0</v>
      </c>
      <c r="E223">
        <v>27</v>
      </c>
      <c r="F223">
        <v>4.5999999999999999E-2</v>
      </c>
    </row>
    <row r="224" spans="1:6" x14ac:dyDescent="0.2">
      <c r="A224" t="s">
        <v>42</v>
      </c>
      <c r="B224">
        <v>1.5</v>
      </c>
      <c r="C224" t="s">
        <v>6</v>
      </c>
      <c r="D224" t="s">
        <v>0</v>
      </c>
      <c r="E224">
        <v>27</v>
      </c>
      <c r="F224">
        <v>4.4999999999999998E-2</v>
      </c>
    </row>
    <row r="225" spans="1:6" x14ac:dyDescent="0.2">
      <c r="A225" t="s">
        <v>42</v>
      </c>
      <c r="B225">
        <v>1.5</v>
      </c>
      <c r="C225" t="s">
        <v>7</v>
      </c>
      <c r="D225" t="s">
        <v>0</v>
      </c>
      <c r="E225">
        <v>27</v>
      </c>
      <c r="F225">
        <v>3.7999999999999999E-2</v>
      </c>
    </row>
    <row r="226" spans="1:6" x14ac:dyDescent="0.2">
      <c r="A226" t="s">
        <v>42</v>
      </c>
      <c r="B226">
        <v>1.5</v>
      </c>
      <c r="C226" t="s">
        <v>8</v>
      </c>
      <c r="D226" t="s">
        <v>0</v>
      </c>
      <c r="E226">
        <v>27</v>
      </c>
      <c r="F226">
        <v>7.5999999999999998E-2</v>
      </c>
    </row>
    <row r="227" spans="1:6" x14ac:dyDescent="0.2">
      <c r="A227" t="s">
        <v>42</v>
      </c>
      <c r="B227">
        <v>0</v>
      </c>
      <c r="C227" t="s">
        <v>6</v>
      </c>
      <c r="D227" t="s">
        <v>0</v>
      </c>
      <c r="E227">
        <v>27</v>
      </c>
      <c r="F227">
        <v>0.317</v>
      </c>
    </row>
    <row r="228" spans="1:6" x14ac:dyDescent="0.2">
      <c r="A228" t="s">
        <v>42</v>
      </c>
      <c r="B228">
        <v>0</v>
      </c>
      <c r="C228" t="s">
        <v>7</v>
      </c>
      <c r="D228" t="s">
        <v>0</v>
      </c>
      <c r="E228">
        <v>27</v>
      </c>
      <c r="F228">
        <v>0.314</v>
      </c>
    </row>
    <row r="229" spans="1:6" x14ac:dyDescent="0.2">
      <c r="A229" t="s">
        <v>42</v>
      </c>
      <c r="B229">
        <v>0</v>
      </c>
      <c r="C229" t="s">
        <v>8</v>
      </c>
      <c r="D229" t="s">
        <v>0</v>
      </c>
      <c r="E229">
        <v>27</v>
      </c>
      <c r="F229">
        <v>0.313</v>
      </c>
    </row>
    <row r="230" spans="1:6" x14ac:dyDescent="0.2">
      <c r="A230" t="s">
        <v>42</v>
      </c>
      <c r="B230">
        <v>0.25</v>
      </c>
      <c r="C230" t="s">
        <v>6</v>
      </c>
      <c r="D230" t="s">
        <v>0</v>
      </c>
      <c r="E230">
        <v>40</v>
      </c>
      <c r="F230">
        <v>5.2999999999999999E-2</v>
      </c>
    </row>
    <row r="231" spans="1:6" x14ac:dyDescent="0.2">
      <c r="A231" t="s">
        <v>42</v>
      </c>
      <c r="B231">
        <v>0.25</v>
      </c>
      <c r="C231" t="s">
        <v>7</v>
      </c>
      <c r="D231" t="s">
        <v>0</v>
      </c>
      <c r="E231">
        <v>40</v>
      </c>
      <c r="F231">
        <v>5.1999999999999998E-2</v>
      </c>
    </row>
    <row r="232" spans="1:6" x14ac:dyDescent="0.2">
      <c r="A232" t="s">
        <v>42</v>
      </c>
      <c r="B232">
        <v>0.25</v>
      </c>
      <c r="C232" t="s">
        <v>8</v>
      </c>
      <c r="D232" t="s">
        <v>0</v>
      </c>
      <c r="E232">
        <v>40</v>
      </c>
      <c r="F232">
        <v>0.14599999999999999</v>
      </c>
    </row>
    <row r="233" spans="1:6" x14ac:dyDescent="0.2">
      <c r="A233" t="s">
        <v>42</v>
      </c>
      <c r="B233">
        <v>0.5</v>
      </c>
      <c r="C233" t="s">
        <v>6</v>
      </c>
      <c r="D233" t="s">
        <v>0</v>
      </c>
      <c r="E233">
        <v>40</v>
      </c>
      <c r="F233">
        <v>5.6000000000000001E-2</v>
      </c>
    </row>
    <row r="234" spans="1:6" x14ac:dyDescent="0.2">
      <c r="A234" t="s">
        <v>42</v>
      </c>
      <c r="B234">
        <v>0.5</v>
      </c>
      <c r="C234" t="s">
        <v>7</v>
      </c>
      <c r="D234" t="s">
        <v>0</v>
      </c>
      <c r="E234">
        <v>40</v>
      </c>
      <c r="F234">
        <v>0.13300000000000001</v>
      </c>
    </row>
    <row r="235" spans="1:6" x14ac:dyDescent="0.2">
      <c r="A235" t="s">
        <v>42</v>
      </c>
      <c r="B235">
        <v>0.5</v>
      </c>
      <c r="C235" t="s">
        <v>8</v>
      </c>
      <c r="D235" t="s">
        <v>0</v>
      </c>
      <c r="E235">
        <v>40</v>
      </c>
      <c r="F235">
        <v>7.4999999999999997E-2</v>
      </c>
    </row>
    <row r="236" spans="1:6" x14ac:dyDescent="0.2">
      <c r="A236" t="s">
        <v>42</v>
      </c>
      <c r="B236">
        <v>1</v>
      </c>
      <c r="C236" t="s">
        <v>6</v>
      </c>
      <c r="D236" t="s">
        <v>0</v>
      </c>
      <c r="E236">
        <v>40</v>
      </c>
      <c r="F236">
        <v>0.51600000000000001</v>
      </c>
    </row>
    <row r="237" spans="1:6" x14ac:dyDescent="0.2">
      <c r="A237" t="s">
        <v>42</v>
      </c>
      <c r="B237">
        <v>1</v>
      </c>
      <c r="C237" t="s">
        <v>7</v>
      </c>
      <c r="D237" t="s">
        <v>0</v>
      </c>
      <c r="E237">
        <v>40</v>
      </c>
      <c r="F237">
        <v>0.156</v>
      </c>
    </row>
    <row r="238" spans="1:6" x14ac:dyDescent="0.2">
      <c r="A238" t="s">
        <v>42</v>
      </c>
      <c r="B238">
        <v>1</v>
      </c>
      <c r="C238" t="s">
        <v>8</v>
      </c>
      <c r="D238" t="s">
        <v>0</v>
      </c>
      <c r="E238">
        <v>40</v>
      </c>
      <c r="F238">
        <v>0.111</v>
      </c>
    </row>
    <row r="239" spans="1:6" x14ac:dyDescent="0.2">
      <c r="A239" t="s">
        <v>42</v>
      </c>
      <c r="B239">
        <v>1.5</v>
      </c>
      <c r="C239" t="s">
        <v>6</v>
      </c>
      <c r="D239" t="s">
        <v>0</v>
      </c>
      <c r="E239">
        <v>40</v>
      </c>
      <c r="F239">
        <v>0.127</v>
      </c>
    </row>
    <row r="240" spans="1:6" x14ac:dyDescent="0.2">
      <c r="A240" t="s">
        <v>42</v>
      </c>
      <c r="B240">
        <v>1.5</v>
      </c>
      <c r="C240" t="s">
        <v>7</v>
      </c>
      <c r="D240" t="s">
        <v>0</v>
      </c>
      <c r="E240">
        <v>40</v>
      </c>
      <c r="F240">
        <v>6.7000000000000004E-2</v>
      </c>
    </row>
    <row r="241" spans="1:6" x14ac:dyDescent="0.2">
      <c r="A241" t="s">
        <v>42</v>
      </c>
      <c r="B241">
        <v>1.5</v>
      </c>
      <c r="C241" t="s">
        <v>8</v>
      </c>
      <c r="D241" t="s">
        <v>0</v>
      </c>
      <c r="E241">
        <v>40</v>
      </c>
      <c r="F241">
        <v>0.40600000000000003</v>
      </c>
    </row>
    <row r="242" spans="1:6" x14ac:dyDescent="0.2">
      <c r="A242" t="s">
        <v>42</v>
      </c>
      <c r="B242">
        <v>0</v>
      </c>
      <c r="C242" t="s">
        <v>6</v>
      </c>
      <c r="D242" t="s">
        <v>0</v>
      </c>
      <c r="E242">
        <v>40</v>
      </c>
      <c r="F242">
        <v>0.378</v>
      </c>
    </row>
    <row r="243" spans="1:6" x14ac:dyDescent="0.2">
      <c r="A243" t="s">
        <v>42</v>
      </c>
      <c r="B243">
        <v>0</v>
      </c>
      <c r="C243" t="s">
        <v>7</v>
      </c>
      <c r="D243" t="s">
        <v>0</v>
      </c>
      <c r="E243">
        <v>40</v>
      </c>
      <c r="F243">
        <v>0.38200000000000001</v>
      </c>
    </row>
    <row r="244" spans="1:6" x14ac:dyDescent="0.2">
      <c r="A244" t="s">
        <v>42</v>
      </c>
      <c r="B244">
        <v>0</v>
      </c>
      <c r="C244" t="s">
        <v>8</v>
      </c>
      <c r="D244" t="s">
        <v>0</v>
      </c>
      <c r="E244">
        <v>40</v>
      </c>
      <c r="F244">
        <v>0.39400000000000002</v>
      </c>
    </row>
    <row r="245" spans="1:6" x14ac:dyDescent="0.2">
      <c r="A245" t="s">
        <v>42</v>
      </c>
      <c r="B245">
        <v>0.25</v>
      </c>
      <c r="C245" t="s">
        <v>6</v>
      </c>
      <c r="D245" t="s">
        <v>0</v>
      </c>
      <c r="E245">
        <v>46</v>
      </c>
      <c r="F245">
        <v>7.0000000000000007E-2</v>
      </c>
    </row>
    <row r="246" spans="1:6" x14ac:dyDescent="0.2">
      <c r="A246" t="s">
        <v>42</v>
      </c>
      <c r="B246">
        <v>0.25</v>
      </c>
      <c r="C246" t="s">
        <v>7</v>
      </c>
      <c r="D246" t="s">
        <v>0</v>
      </c>
      <c r="E246">
        <v>46</v>
      </c>
      <c r="F246">
        <v>7.2999999999999995E-2</v>
      </c>
    </row>
    <row r="247" spans="1:6" x14ac:dyDescent="0.2">
      <c r="A247" t="s">
        <v>42</v>
      </c>
      <c r="B247">
        <v>0.25</v>
      </c>
      <c r="C247" t="s">
        <v>8</v>
      </c>
      <c r="D247" t="s">
        <v>0</v>
      </c>
      <c r="E247">
        <v>46</v>
      </c>
      <c r="F247">
        <v>0.309</v>
      </c>
    </row>
    <row r="248" spans="1:6" x14ac:dyDescent="0.2">
      <c r="A248" t="s">
        <v>42</v>
      </c>
      <c r="B248">
        <v>0.5</v>
      </c>
      <c r="C248" t="s">
        <v>6</v>
      </c>
      <c r="D248" t="s">
        <v>0</v>
      </c>
      <c r="E248">
        <v>46</v>
      </c>
      <c r="F248">
        <v>7.1999999999999995E-2</v>
      </c>
    </row>
    <row r="249" spans="1:6" x14ac:dyDescent="0.2">
      <c r="A249" t="s">
        <v>42</v>
      </c>
      <c r="B249">
        <v>0.5</v>
      </c>
      <c r="C249" t="s">
        <v>7</v>
      </c>
      <c r="D249" t="s">
        <v>0</v>
      </c>
      <c r="E249">
        <v>46</v>
      </c>
      <c r="F249">
        <v>0.32200000000000001</v>
      </c>
    </row>
    <row r="250" spans="1:6" x14ac:dyDescent="0.2">
      <c r="A250" t="s">
        <v>42</v>
      </c>
      <c r="B250">
        <v>0.5</v>
      </c>
      <c r="C250" t="s">
        <v>8</v>
      </c>
      <c r="D250" t="s">
        <v>0</v>
      </c>
      <c r="E250">
        <v>46</v>
      </c>
      <c r="F250">
        <v>0.14899999999999999</v>
      </c>
    </row>
    <row r="251" spans="1:6" x14ac:dyDescent="0.2">
      <c r="A251" t="s">
        <v>42</v>
      </c>
      <c r="B251">
        <v>1</v>
      </c>
      <c r="C251" t="s">
        <v>6</v>
      </c>
      <c r="D251" t="s">
        <v>0</v>
      </c>
      <c r="E251">
        <v>46</v>
      </c>
      <c r="F251">
        <v>0.84899999999999998</v>
      </c>
    </row>
    <row r="252" spans="1:6" x14ac:dyDescent="0.2">
      <c r="A252" t="s">
        <v>42</v>
      </c>
      <c r="B252">
        <v>1</v>
      </c>
      <c r="C252" t="s">
        <v>7</v>
      </c>
      <c r="D252" t="s">
        <v>0</v>
      </c>
      <c r="E252">
        <v>46</v>
      </c>
      <c r="F252">
        <v>0.33100000000000002</v>
      </c>
    </row>
    <row r="253" spans="1:6" x14ac:dyDescent="0.2">
      <c r="A253" t="s">
        <v>42</v>
      </c>
      <c r="B253">
        <v>1</v>
      </c>
      <c r="C253" t="s">
        <v>8</v>
      </c>
      <c r="D253" t="s">
        <v>0</v>
      </c>
      <c r="E253">
        <v>46</v>
      </c>
      <c r="F253">
        <v>0.2</v>
      </c>
    </row>
    <row r="254" spans="1:6" x14ac:dyDescent="0.2">
      <c r="A254" t="s">
        <v>42</v>
      </c>
      <c r="B254">
        <v>1.5</v>
      </c>
      <c r="C254" t="s">
        <v>6</v>
      </c>
      <c r="D254" t="s">
        <v>0</v>
      </c>
      <c r="E254">
        <v>46</v>
      </c>
      <c r="F254">
        <v>0.25</v>
      </c>
    </row>
    <row r="255" spans="1:6" x14ac:dyDescent="0.2">
      <c r="A255" t="s">
        <v>42</v>
      </c>
      <c r="B255">
        <v>1.5</v>
      </c>
      <c r="C255" t="s">
        <v>7</v>
      </c>
      <c r="D255" t="s">
        <v>0</v>
      </c>
      <c r="E255">
        <v>46</v>
      </c>
      <c r="F255">
        <v>8.5000000000000006E-2</v>
      </c>
    </row>
    <row r="256" spans="1:6" x14ac:dyDescent="0.2">
      <c r="A256" t="s">
        <v>42</v>
      </c>
      <c r="B256">
        <v>1.5</v>
      </c>
      <c r="C256" t="s">
        <v>8</v>
      </c>
      <c r="D256" t="s">
        <v>0</v>
      </c>
      <c r="E256">
        <v>46</v>
      </c>
      <c r="F256">
        <v>0.749</v>
      </c>
    </row>
    <row r="257" spans="1:6" x14ac:dyDescent="0.2">
      <c r="A257" t="s">
        <v>42</v>
      </c>
      <c r="B257">
        <v>0</v>
      </c>
      <c r="C257" t="s">
        <v>6</v>
      </c>
      <c r="D257" t="s">
        <v>0</v>
      </c>
      <c r="E257">
        <v>46</v>
      </c>
      <c r="F257">
        <v>0.36399999999999999</v>
      </c>
    </row>
    <row r="258" spans="1:6" x14ac:dyDescent="0.2">
      <c r="A258" t="s">
        <v>42</v>
      </c>
      <c r="B258">
        <v>0</v>
      </c>
      <c r="C258" t="s">
        <v>7</v>
      </c>
      <c r="D258" t="s">
        <v>0</v>
      </c>
      <c r="E258">
        <v>46</v>
      </c>
      <c r="F258">
        <v>0.36399999999999999</v>
      </c>
    </row>
    <row r="259" spans="1:6" x14ac:dyDescent="0.2">
      <c r="A259" t="s">
        <v>42</v>
      </c>
      <c r="B259">
        <v>0</v>
      </c>
      <c r="C259" t="s">
        <v>8</v>
      </c>
      <c r="D259" t="s">
        <v>0</v>
      </c>
      <c r="E259">
        <v>46</v>
      </c>
      <c r="F259">
        <v>0.73</v>
      </c>
    </row>
    <row r="260" spans="1:6" x14ac:dyDescent="0.2">
      <c r="A260" t="s">
        <v>42</v>
      </c>
      <c r="B260">
        <v>0.25</v>
      </c>
      <c r="C260" t="s">
        <v>6</v>
      </c>
      <c r="D260" t="s">
        <v>0</v>
      </c>
      <c r="E260">
        <v>52.5</v>
      </c>
      <c r="F260">
        <v>0.14399999999999999</v>
      </c>
    </row>
    <row r="261" spans="1:6" x14ac:dyDescent="0.2">
      <c r="A261" t="s">
        <v>42</v>
      </c>
      <c r="B261">
        <v>0.25</v>
      </c>
      <c r="C261" t="s">
        <v>7</v>
      </c>
      <c r="D261" t="s">
        <v>0</v>
      </c>
      <c r="E261">
        <v>52.5</v>
      </c>
      <c r="F261">
        <v>0.128</v>
      </c>
    </row>
    <row r="262" spans="1:6" x14ac:dyDescent="0.2">
      <c r="A262" t="s">
        <v>42</v>
      </c>
      <c r="B262">
        <v>0.25</v>
      </c>
      <c r="C262" t="s">
        <v>8</v>
      </c>
      <c r="D262" t="s">
        <v>0</v>
      </c>
      <c r="E262">
        <v>52.5</v>
      </c>
      <c r="F262">
        <v>0.66100000000000003</v>
      </c>
    </row>
    <row r="263" spans="1:6" x14ac:dyDescent="0.2">
      <c r="A263" t="s">
        <v>42</v>
      </c>
      <c r="B263">
        <v>0.5</v>
      </c>
      <c r="C263" t="s">
        <v>6</v>
      </c>
      <c r="D263" t="s">
        <v>0</v>
      </c>
      <c r="E263">
        <v>52.5</v>
      </c>
      <c r="F263">
        <v>0.153</v>
      </c>
    </row>
    <row r="264" spans="1:6" x14ac:dyDescent="0.2">
      <c r="A264" t="s">
        <v>42</v>
      </c>
      <c r="B264">
        <v>0.5</v>
      </c>
      <c r="C264" t="s">
        <v>7</v>
      </c>
      <c r="D264" t="s">
        <v>0</v>
      </c>
      <c r="E264">
        <v>52.5</v>
      </c>
      <c r="F264">
        <v>0.66700000000000004</v>
      </c>
    </row>
    <row r="265" spans="1:6" x14ac:dyDescent="0.2">
      <c r="A265" t="s">
        <v>42</v>
      </c>
      <c r="B265">
        <v>0.5</v>
      </c>
      <c r="C265" t="s">
        <v>8</v>
      </c>
      <c r="D265" t="s">
        <v>0</v>
      </c>
      <c r="E265">
        <v>52.5</v>
      </c>
      <c r="F265">
        <v>0.377</v>
      </c>
    </row>
    <row r="266" spans="1:6" x14ac:dyDescent="0.2">
      <c r="A266" t="s">
        <v>42</v>
      </c>
      <c r="B266">
        <v>1</v>
      </c>
      <c r="C266" t="s">
        <v>6</v>
      </c>
      <c r="D266" t="s">
        <v>0</v>
      </c>
      <c r="E266">
        <v>52.5</v>
      </c>
      <c r="F266">
        <v>1.109</v>
      </c>
    </row>
    <row r="267" spans="1:6" x14ac:dyDescent="0.2">
      <c r="A267" t="s">
        <v>42</v>
      </c>
      <c r="B267">
        <v>1</v>
      </c>
      <c r="C267" t="s">
        <v>7</v>
      </c>
      <c r="D267" t="s">
        <v>0</v>
      </c>
      <c r="E267">
        <v>52.5</v>
      </c>
      <c r="F267">
        <v>0.73</v>
      </c>
    </row>
    <row r="268" spans="1:6" x14ac:dyDescent="0.2">
      <c r="A268" t="s">
        <v>42</v>
      </c>
      <c r="B268">
        <v>1</v>
      </c>
      <c r="C268" t="s">
        <v>8</v>
      </c>
      <c r="D268" t="s">
        <v>0</v>
      </c>
      <c r="E268">
        <v>52.5</v>
      </c>
      <c r="F268">
        <v>0.47699999999999998</v>
      </c>
    </row>
    <row r="269" spans="1:6" x14ac:dyDescent="0.2">
      <c r="A269" t="s">
        <v>42</v>
      </c>
      <c r="B269">
        <v>1.5</v>
      </c>
      <c r="C269" t="s">
        <v>6</v>
      </c>
      <c r="D269" t="s">
        <v>0</v>
      </c>
      <c r="E269">
        <v>52.5</v>
      </c>
      <c r="F269">
        <v>0.56699999999999995</v>
      </c>
    </row>
    <row r="270" spans="1:6" x14ac:dyDescent="0.2">
      <c r="A270" t="s">
        <v>42</v>
      </c>
      <c r="B270">
        <v>1.5</v>
      </c>
      <c r="C270" t="s">
        <v>7</v>
      </c>
      <c r="D270" t="s">
        <v>0</v>
      </c>
      <c r="E270">
        <v>52.5</v>
      </c>
      <c r="F270">
        <v>0.16500000000000001</v>
      </c>
    </row>
    <row r="271" spans="1:6" x14ac:dyDescent="0.2">
      <c r="A271" t="s">
        <v>42</v>
      </c>
      <c r="B271">
        <v>1.5</v>
      </c>
      <c r="C271" t="s">
        <v>8</v>
      </c>
      <c r="D271" t="s">
        <v>0</v>
      </c>
      <c r="E271">
        <v>52.5</v>
      </c>
      <c r="F271">
        <v>1.03</v>
      </c>
    </row>
    <row r="272" spans="1:6" x14ac:dyDescent="0.2">
      <c r="A272" t="s">
        <v>42</v>
      </c>
      <c r="B272">
        <v>0</v>
      </c>
      <c r="C272" t="s">
        <v>6</v>
      </c>
      <c r="D272" t="s">
        <v>0</v>
      </c>
      <c r="E272">
        <v>52.5</v>
      </c>
      <c r="F272">
        <v>0.35199999999999998</v>
      </c>
    </row>
    <row r="273" spans="1:6" x14ac:dyDescent="0.2">
      <c r="A273" t="s">
        <v>42</v>
      </c>
      <c r="B273">
        <v>0</v>
      </c>
      <c r="C273" t="s">
        <v>7</v>
      </c>
      <c r="D273" t="s">
        <v>0</v>
      </c>
      <c r="E273">
        <v>52.5</v>
      </c>
      <c r="F273">
        <v>0.312</v>
      </c>
    </row>
    <row r="274" spans="1:6" x14ac:dyDescent="0.2">
      <c r="A274" t="s">
        <v>42</v>
      </c>
      <c r="B274">
        <v>0</v>
      </c>
      <c r="C274" t="s">
        <v>8</v>
      </c>
      <c r="D274" t="s">
        <v>0</v>
      </c>
      <c r="E274">
        <v>52.5</v>
      </c>
      <c r="F274">
        <v>0.33200000000000002</v>
      </c>
    </row>
    <row r="275" spans="1:6" x14ac:dyDescent="0.2">
      <c r="A275" t="s">
        <v>42</v>
      </c>
      <c r="B275">
        <v>0.25</v>
      </c>
      <c r="C275" t="s">
        <v>6</v>
      </c>
      <c r="D275" t="s">
        <v>0</v>
      </c>
      <c r="E275">
        <v>69.5</v>
      </c>
      <c r="F275">
        <v>0.75800000000000001</v>
      </c>
    </row>
    <row r="276" spans="1:6" x14ac:dyDescent="0.2">
      <c r="A276" t="s">
        <v>42</v>
      </c>
      <c r="B276">
        <v>0.25</v>
      </c>
      <c r="C276" t="s">
        <v>7</v>
      </c>
      <c r="D276" t="s">
        <v>0</v>
      </c>
      <c r="E276">
        <v>69.5</v>
      </c>
      <c r="F276">
        <v>0.77100000000000002</v>
      </c>
    </row>
    <row r="277" spans="1:6" x14ac:dyDescent="0.2">
      <c r="A277" t="s">
        <v>42</v>
      </c>
      <c r="B277">
        <v>0.25</v>
      </c>
      <c r="C277" t="s">
        <v>8</v>
      </c>
      <c r="D277" t="s">
        <v>0</v>
      </c>
      <c r="E277">
        <v>69.5</v>
      </c>
      <c r="F277">
        <v>0.77</v>
      </c>
    </row>
    <row r="278" spans="1:6" x14ac:dyDescent="0.2">
      <c r="A278" t="s">
        <v>42</v>
      </c>
      <c r="B278">
        <v>0.5</v>
      </c>
      <c r="C278" t="s">
        <v>6</v>
      </c>
      <c r="D278" t="s">
        <v>0</v>
      </c>
      <c r="E278">
        <v>69.5</v>
      </c>
      <c r="F278">
        <v>0.93100000000000005</v>
      </c>
    </row>
    <row r="279" spans="1:6" x14ac:dyDescent="0.2">
      <c r="A279" t="s">
        <v>42</v>
      </c>
      <c r="B279">
        <v>0.5</v>
      </c>
      <c r="C279" t="s">
        <v>7</v>
      </c>
      <c r="D279" t="s">
        <v>0</v>
      </c>
      <c r="E279">
        <v>69.5</v>
      </c>
      <c r="F279">
        <v>0.80200000000000005</v>
      </c>
    </row>
    <row r="280" spans="1:6" x14ac:dyDescent="0.2">
      <c r="A280" t="s">
        <v>42</v>
      </c>
      <c r="B280">
        <v>0.5</v>
      </c>
      <c r="C280" t="s">
        <v>8</v>
      </c>
      <c r="D280" t="s">
        <v>0</v>
      </c>
      <c r="E280">
        <v>69.5</v>
      </c>
      <c r="F280">
        <v>0.91800000000000004</v>
      </c>
    </row>
    <row r="281" spans="1:6" x14ac:dyDescent="0.2">
      <c r="A281" t="s">
        <v>42</v>
      </c>
      <c r="B281">
        <v>1</v>
      </c>
      <c r="C281" t="s">
        <v>6</v>
      </c>
      <c r="D281" t="s">
        <v>0</v>
      </c>
      <c r="E281">
        <v>69.5</v>
      </c>
      <c r="F281">
        <v>0.98</v>
      </c>
    </row>
    <row r="282" spans="1:6" x14ac:dyDescent="0.2">
      <c r="A282" t="s">
        <v>42</v>
      </c>
      <c r="B282">
        <v>1</v>
      </c>
      <c r="C282" t="s">
        <v>7</v>
      </c>
      <c r="D282" t="s">
        <v>0</v>
      </c>
      <c r="E282">
        <v>69.5</v>
      </c>
      <c r="F282">
        <v>1.2749999999999999</v>
      </c>
    </row>
    <row r="283" spans="1:6" x14ac:dyDescent="0.2">
      <c r="A283" t="s">
        <v>42</v>
      </c>
      <c r="B283">
        <v>1</v>
      </c>
      <c r="C283" t="s">
        <v>8</v>
      </c>
      <c r="D283" t="s">
        <v>0</v>
      </c>
      <c r="E283">
        <v>69.5</v>
      </c>
      <c r="F283">
        <v>1.1879999999999999</v>
      </c>
    </row>
    <row r="284" spans="1:6" x14ac:dyDescent="0.2">
      <c r="A284" t="s">
        <v>42</v>
      </c>
      <c r="B284">
        <v>1.5</v>
      </c>
      <c r="C284" t="s">
        <v>6</v>
      </c>
      <c r="D284" t="s">
        <v>0</v>
      </c>
      <c r="E284">
        <v>69.5</v>
      </c>
      <c r="F284">
        <v>1.1859999999999999</v>
      </c>
    </row>
    <row r="285" spans="1:6" x14ac:dyDescent="0.2">
      <c r="A285" t="s">
        <v>42</v>
      </c>
      <c r="B285">
        <v>1.5</v>
      </c>
      <c r="C285" t="s">
        <v>7</v>
      </c>
      <c r="D285" t="s">
        <v>0</v>
      </c>
      <c r="E285">
        <v>69.5</v>
      </c>
      <c r="F285">
        <v>0.92500000000000004</v>
      </c>
    </row>
    <row r="286" spans="1:6" x14ac:dyDescent="0.2">
      <c r="A286" t="s">
        <v>42</v>
      </c>
      <c r="B286">
        <v>1.5</v>
      </c>
      <c r="C286" t="s">
        <v>8</v>
      </c>
      <c r="D286" t="s">
        <v>0</v>
      </c>
      <c r="E286">
        <v>69.5</v>
      </c>
      <c r="F286">
        <v>1.222</v>
      </c>
    </row>
    <row r="287" spans="1:6" x14ac:dyDescent="0.2">
      <c r="A287" t="s">
        <v>42</v>
      </c>
      <c r="B287">
        <v>0</v>
      </c>
      <c r="C287" t="s">
        <v>6</v>
      </c>
      <c r="D287" t="s">
        <v>0</v>
      </c>
      <c r="E287">
        <v>69.5</v>
      </c>
      <c r="F287">
        <v>0.30299999999999999</v>
      </c>
    </row>
    <row r="288" spans="1:6" x14ac:dyDescent="0.2">
      <c r="A288" t="s">
        <v>42</v>
      </c>
      <c r="B288">
        <v>0</v>
      </c>
      <c r="C288" t="s">
        <v>7</v>
      </c>
      <c r="D288" t="s">
        <v>0</v>
      </c>
      <c r="E288">
        <v>69.5</v>
      </c>
      <c r="F288">
        <v>0.29399999999999998</v>
      </c>
    </row>
    <row r="289" spans="1:6" x14ac:dyDescent="0.2">
      <c r="A289" t="s">
        <v>42</v>
      </c>
      <c r="B289">
        <v>0</v>
      </c>
      <c r="C289" t="s">
        <v>8</v>
      </c>
      <c r="D289" t="s">
        <v>0</v>
      </c>
      <c r="E289">
        <v>69.5</v>
      </c>
      <c r="F289">
        <v>0.29299999999999998</v>
      </c>
    </row>
    <row r="290" spans="1:6" x14ac:dyDescent="0.2">
      <c r="A290" t="s">
        <v>42</v>
      </c>
      <c r="B290">
        <v>0.25</v>
      </c>
      <c r="C290" t="s">
        <v>6</v>
      </c>
      <c r="D290" t="s">
        <v>0</v>
      </c>
      <c r="E290">
        <v>94</v>
      </c>
      <c r="F290">
        <v>1.04</v>
      </c>
    </row>
    <row r="291" spans="1:6" x14ac:dyDescent="0.2">
      <c r="A291" t="s">
        <v>42</v>
      </c>
      <c r="B291">
        <v>0.25</v>
      </c>
      <c r="C291" t="s">
        <v>7</v>
      </c>
      <c r="D291" t="s">
        <v>0</v>
      </c>
      <c r="E291">
        <v>94</v>
      </c>
      <c r="F291">
        <v>0.95699999999999996</v>
      </c>
    </row>
    <row r="292" spans="1:6" x14ac:dyDescent="0.2">
      <c r="A292" t="s">
        <v>42</v>
      </c>
      <c r="B292">
        <v>0.25</v>
      </c>
      <c r="C292" t="s">
        <v>8</v>
      </c>
      <c r="D292" t="s">
        <v>0</v>
      </c>
      <c r="E292">
        <v>94</v>
      </c>
      <c r="F292">
        <v>1.0229999999999999</v>
      </c>
    </row>
    <row r="293" spans="1:6" x14ac:dyDescent="0.2">
      <c r="A293" t="s">
        <v>42</v>
      </c>
      <c r="B293">
        <v>0.5</v>
      </c>
      <c r="C293" t="s">
        <v>6</v>
      </c>
      <c r="D293" t="s">
        <v>0</v>
      </c>
      <c r="E293">
        <v>94</v>
      </c>
      <c r="F293">
        <v>0.86299999999999999</v>
      </c>
    </row>
    <row r="294" spans="1:6" x14ac:dyDescent="0.2">
      <c r="A294" t="s">
        <v>42</v>
      </c>
      <c r="B294">
        <v>0.5</v>
      </c>
      <c r="C294" t="s">
        <v>7</v>
      </c>
      <c r="D294" t="s">
        <v>0</v>
      </c>
      <c r="E294">
        <v>94</v>
      </c>
      <c r="F294">
        <v>0.71399999999999997</v>
      </c>
    </row>
    <row r="295" spans="1:6" x14ac:dyDescent="0.2">
      <c r="A295" t="s">
        <v>42</v>
      </c>
      <c r="B295">
        <v>0.5</v>
      </c>
      <c r="C295" t="s">
        <v>8</v>
      </c>
      <c r="D295" t="s">
        <v>0</v>
      </c>
      <c r="E295">
        <v>94</v>
      </c>
      <c r="F295">
        <v>0.80900000000000005</v>
      </c>
    </row>
    <row r="296" spans="1:6" x14ac:dyDescent="0.2">
      <c r="A296" t="s">
        <v>42</v>
      </c>
      <c r="B296">
        <v>1</v>
      </c>
      <c r="C296" t="s">
        <v>6</v>
      </c>
      <c r="D296" t="s">
        <v>0</v>
      </c>
      <c r="E296">
        <v>94</v>
      </c>
      <c r="F296">
        <v>0.61799999999999999</v>
      </c>
    </row>
    <row r="297" spans="1:6" x14ac:dyDescent="0.2">
      <c r="A297" t="s">
        <v>42</v>
      </c>
      <c r="B297">
        <v>1</v>
      </c>
      <c r="C297" t="s">
        <v>7</v>
      </c>
      <c r="D297" t="s">
        <v>0</v>
      </c>
      <c r="E297">
        <v>94</v>
      </c>
      <c r="F297">
        <v>0.73199999999999998</v>
      </c>
    </row>
    <row r="298" spans="1:6" x14ac:dyDescent="0.2">
      <c r="A298" t="s">
        <v>42</v>
      </c>
      <c r="B298">
        <v>1</v>
      </c>
      <c r="C298" t="s">
        <v>8</v>
      </c>
      <c r="D298" t="s">
        <v>0</v>
      </c>
      <c r="E298">
        <v>94</v>
      </c>
      <c r="F298">
        <v>0.74099999999999999</v>
      </c>
    </row>
    <row r="299" spans="1:6" x14ac:dyDescent="0.2">
      <c r="A299" t="s">
        <v>42</v>
      </c>
      <c r="B299">
        <v>1.5</v>
      </c>
      <c r="C299" t="s">
        <v>6</v>
      </c>
      <c r="D299" t="s">
        <v>0</v>
      </c>
      <c r="E299">
        <v>94</v>
      </c>
      <c r="F299">
        <v>0.98599999999999999</v>
      </c>
    </row>
    <row r="300" spans="1:6" x14ac:dyDescent="0.2">
      <c r="A300" t="s">
        <v>42</v>
      </c>
      <c r="B300">
        <v>1.5</v>
      </c>
      <c r="C300" t="s">
        <v>7</v>
      </c>
      <c r="D300" t="s">
        <v>0</v>
      </c>
      <c r="E300">
        <v>94</v>
      </c>
      <c r="F300">
        <v>1.0820000000000001</v>
      </c>
    </row>
    <row r="301" spans="1:6" x14ac:dyDescent="0.2">
      <c r="A301" t="s">
        <v>42</v>
      </c>
      <c r="B301">
        <v>1.5</v>
      </c>
      <c r="C301" t="s">
        <v>8</v>
      </c>
      <c r="D301" t="s">
        <v>0</v>
      </c>
      <c r="E301">
        <v>94</v>
      </c>
      <c r="F301">
        <v>0.73599999999999999</v>
      </c>
    </row>
    <row r="302" spans="1:6" x14ac:dyDescent="0.2">
      <c r="A302" t="s">
        <v>42</v>
      </c>
      <c r="B302">
        <v>0</v>
      </c>
      <c r="C302" t="s">
        <v>6</v>
      </c>
      <c r="D302" t="s">
        <v>0</v>
      </c>
      <c r="E302">
        <v>94</v>
      </c>
      <c r="F302">
        <v>0.26800000000000002</v>
      </c>
    </row>
    <row r="303" spans="1:6" x14ac:dyDescent="0.2">
      <c r="A303" t="s">
        <v>42</v>
      </c>
      <c r="B303">
        <v>0</v>
      </c>
      <c r="C303" t="s">
        <v>7</v>
      </c>
      <c r="D303" t="s">
        <v>0</v>
      </c>
      <c r="E303">
        <v>94</v>
      </c>
      <c r="F303">
        <v>0.26900000000000002</v>
      </c>
    </row>
    <row r="304" spans="1:6" x14ac:dyDescent="0.2">
      <c r="A304" t="s">
        <v>42</v>
      </c>
      <c r="B304">
        <v>0</v>
      </c>
      <c r="C304" t="s">
        <v>8</v>
      </c>
      <c r="D304" t="s">
        <v>0</v>
      </c>
      <c r="E304">
        <v>94</v>
      </c>
      <c r="F304">
        <v>0.25600000000000001</v>
      </c>
    </row>
    <row r="305" spans="1:6" x14ac:dyDescent="0.2">
      <c r="A305" t="s">
        <v>42</v>
      </c>
      <c r="B305">
        <v>0.25</v>
      </c>
      <c r="C305" t="s">
        <v>6</v>
      </c>
      <c r="D305" t="s">
        <v>24</v>
      </c>
      <c r="E305">
        <v>94</v>
      </c>
      <c r="F305">
        <v>12.66</v>
      </c>
    </row>
    <row r="306" spans="1:6" x14ac:dyDescent="0.2">
      <c r="A306" t="s">
        <v>42</v>
      </c>
      <c r="B306">
        <v>0.25</v>
      </c>
      <c r="C306" t="s">
        <v>7</v>
      </c>
      <c r="D306" t="s">
        <v>24</v>
      </c>
      <c r="E306">
        <v>94</v>
      </c>
      <c r="F306">
        <v>11.22</v>
      </c>
    </row>
    <row r="307" spans="1:6" x14ac:dyDescent="0.2">
      <c r="A307" t="s">
        <v>42</v>
      </c>
      <c r="B307">
        <v>0.25</v>
      </c>
      <c r="C307" t="s">
        <v>8</v>
      </c>
      <c r="D307" t="s">
        <v>24</v>
      </c>
      <c r="E307">
        <v>94</v>
      </c>
      <c r="F307">
        <v>13.24</v>
      </c>
    </row>
    <row r="308" spans="1:6" x14ac:dyDescent="0.2">
      <c r="A308" t="s">
        <v>42</v>
      </c>
      <c r="B308">
        <v>0.5</v>
      </c>
      <c r="C308" t="s">
        <v>6</v>
      </c>
      <c r="D308" t="s">
        <v>24</v>
      </c>
      <c r="E308">
        <v>94</v>
      </c>
      <c r="F308">
        <v>11.14</v>
      </c>
    </row>
    <row r="309" spans="1:6" x14ac:dyDescent="0.2">
      <c r="A309" t="s">
        <v>42</v>
      </c>
      <c r="B309">
        <v>0.5</v>
      </c>
      <c r="C309" t="s">
        <v>7</v>
      </c>
      <c r="D309" t="s">
        <v>24</v>
      </c>
      <c r="E309">
        <v>94</v>
      </c>
      <c r="F309">
        <v>12.18</v>
      </c>
    </row>
    <row r="310" spans="1:6" x14ac:dyDescent="0.2">
      <c r="A310" t="s">
        <v>42</v>
      </c>
      <c r="B310">
        <v>0.5</v>
      </c>
      <c r="C310" t="s">
        <v>8</v>
      </c>
      <c r="D310" t="s">
        <v>24</v>
      </c>
      <c r="E310">
        <v>94</v>
      </c>
      <c r="F310">
        <v>11.28</v>
      </c>
    </row>
    <row r="311" spans="1:6" x14ac:dyDescent="0.2">
      <c r="A311" t="s">
        <v>42</v>
      </c>
      <c r="B311">
        <v>1</v>
      </c>
      <c r="C311" t="s">
        <v>6</v>
      </c>
      <c r="D311" t="s">
        <v>24</v>
      </c>
      <c r="E311">
        <v>94</v>
      </c>
      <c r="F311">
        <v>13.76</v>
      </c>
    </row>
    <row r="312" spans="1:6" x14ac:dyDescent="0.2">
      <c r="A312" t="s">
        <v>42</v>
      </c>
      <c r="B312">
        <v>1</v>
      </c>
      <c r="C312" t="s">
        <v>7</v>
      </c>
      <c r="D312" t="s">
        <v>24</v>
      </c>
      <c r="E312">
        <v>94</v>
      </c>
      <c r="F312">
        <v>13.78</v>
      </c>
    </row>
    <row r="313" spans="1:6" x14ac:dyDescent="0.2">
      <c r="A313" t="s">
        <v>42</v>
      </c>
      <c r="B313">
        <v>1</v>
      </c>
      <c r="C313" t="s">
        <v>8</v>
      </c>
      <c r="D313" t="s">
        <v>24</v>
      </c>
      <c r="E313">
        <v>94</v>
      </c>
      <c r="F313">
        <v>13.64</v>
      </c>
    </row>
    <row r="314" spans="1:6" x14ac:dyDescent="0.2">
      <c r="A314" t="s">
        <v>42</v>
      </c>
      <c r="B314">
        <v>1.5</v>
      </c>
      <c r="C314" t="s">
        <v>6</v>
      </c>
      <c r="D314" t="s">
        <v>24</v>
      </c>
      <c r="E314">
        <v>94</v>
      </c>
      <c r="F314">
        <v>13.66</v>
      </c>
    </row>
    <row r="315" spans="1:6" x14ac:dyDescent="0.2">
      <c r="A315" t="s">
        <v>42</v>
      </c>
      <c r="B315">
        <v>1.5</v>
      </c>
      <c r="C315" t="s">
        <v>7</v>
      </c>
      <c r="D315" t="s">
        <v>24</v>
      </c>
      <c r="E315">
        <v>94</v>
      </c>
      <c r="F315">
        <v>14.02</v>
      </c>
    </row>
    <row r="316" spans="1:6" x14ac:dyDescent="0.2">
      <c r="A316" t="s">
        <v>42</v>
      </c>
      <c r="B316">
        <v>1.5</v>
      </c>
      <c r="C316" t="s">
        <v>8</v>
      </c>
      <c r="D316" t="s">
        <v>24</v>
      </c>
      <c r="E316">
        <v>94</v>
      </c>
      <c r="F316">
        <v>13.78</v>
      </c>
    </row>
    <row r="317" spans="1:6" x14ac:dyDescent="0.2">
      <c r="A317" t="s">
        <v>42</v>
      </c>
      <c r="B317">
        <v>0</v>
      </c>
      <c r="C317" t="s">
        <v>6</v>
      </c>
      <c r="D317" t="s">
        <v>24</v>
      </c>
      <c r="E317">
        <v>94</v>
      </c>
      <c r="F317">
        <v>0.88</v>
      </c>
    </row>
    <row r="318" spans="1:6" x14ac:dyDescent="0.2">
      <c r="A318" t="s">
        <v>42</v>
      </c>
      <c r="B318">
        <v>0</v>
      </c>
      <c r="C318" t="s">
        <v>7</v>
      </c>
      <c r="D318" t="s">
        <v>24</v>
      </c>
      <c r="E318">
        <v>94</v>
      </c>
      <c r="F318">
        <v>0.54</v>
      </c>
    </row>
    <row r="319" spans="1:6" x14ac:dyDescent="0.2">
      <c r="A319" t="s">
        <v>42</v>
      </c>
      <c r="B319">
        <v>0</v>
      </c>
      <c r="C319" t="s">
        <v>8</v>
      </c>
      <c r="D319" t="s">
        <v>24</v>
      </c>
      <c r="E319">
        <v>94</v>
      </c>
      <c r="F319">
        <v>0.42</v>
      </c>
    </row>
    <row r="320" spans="1:6" x14ac:dyDescent="0.2">
      <c r="A320" t="s">
        <v>42</v>
      </c>
      <c r="B320">
        <v>0.25</v>
      </c>
      <c r="C320" t="s">
        <v>6</v>
      </c>
      <c r="D320" t="s">
        <v>0</v>
      </c>
      <c r="E320">
        <v>140</v>
      </c>
      <c r="F320">
        <v>1.008</v>
      </c>
    </row>
    <row r="321" spans="1:6" x14ac:dyDescent="0.2">
      <c r="A321" t="s">
        <v>42</v>
      </c>
      <c r="B321">
        <v>0.25</v>
      </c>
      <c r="C321" t="s">
        <v>7</v>
      </c>
      <c r="D321" t="s">
        <v>0</v>
      </c>
      <c r="E321">
        <v>140</v>
      </c>
      <c r="F321">
        <v>0.99099999999999999</v>
      </c>
    </row>
    <row r="322" spans="1:6" x14ac:dyDescent="0.2">
      <c r="A322" t="s">
        <v>42</v>
      </c>
      <c r="B322">
        <v>0.25</v>
      </c>
      <c r="C322" t="s">
        <v>8</v>
      </c>
      <c r="D322" t="s">
        <v>0</v>
      </c>
      <c r="E322">
        <v>140</v>
      </c>
      <c r="F322">
        <v>0.92500000000000004</v>
      </c>
    </row>
    <row r="323" spans="1:6" x14ac:dyDescent="0.2">
      <c r="A323" t="s">
        <v>42</v>
      </c>
      <c r="B323">
        <v>0.5</v>
      </c>
      <c r="C323" t="s">
        <v>6</v>
      </c>
      <c r="D323" t="s">
        <v>0</v>
      </c>
      <c r="E323">
        <v>140</v>
      </c>
      <c r="F323">
        <v>0.86499999999999999</v>
      </c>
    </row>
    <row r="324" spans="1:6" x14ac:dyDescent="0.2">
      <c r="A324" t="s">
        <v>42</v>
      </c>
      <c r="B324">
        <v>0.5</v>
      </c>
      <c r="C324" t="s">
        <v>7</v>
      </c>
      <c r="D324" t="s">
        <v>0</v>
      </c>
      <c r="E324">
        <v>140</v>
      </c>
      <c r="F324">
        <v>0.84099999999999997</v>
      </c>
    </row>
    <row r="325" spans="1:6" x14ac:dyDescent="0.2">
      <c r="A325" t="s">
        <v>42</v>
      </c>
      <c r="B325">
        <v>0.5</v>
      </c>
      <c r="C325" t="s">
        <v>8</v>
      </c>
      <c r="D325" t="s">
        <v>0</v>
      </c>
      <c r="E325">
        <v>140</v>
      </c>
      <c r="F325">
        <v>0.83499999999999996</v>
      </c>
    </row>
    <row r="326" spans="1:6" x14ac:dyDescent="0.2">
      <c r="A326" t="s">
        <v>42</v>
      </c>
      <c r="B326">
        <v>1</v>
      </c>
      <c r="C326" t="s">
        <v>6</v>
      </c>
      <c r="D326" t="s">
        <v>0</v>
      </c>
      <c r="E326">
        <v>140</v>
      </c>
      <c r="F326">
        <v>0.40100000000000002</v>
      </c>
    </row>
    <row r="327" spans="1:6" x14ac:dyDescent="0.2">
      <c r="A327" t="s">
        <v>42</v>
      </c>
      <c r="B327">
        <v>1</v>
      </c>
      <c r="C327" t="s">
        <v>7</v>
      </c>
      <c r="D327" t="s">
        <v>0</v>
      </c>
      <c r="E327">
        <v>140</v>
      </c>
      <c r="F327">
        <v>0.439</v>
      </c>
    </row>
    <row r="328" spans="1:6" x14ac:dyDescent="0.2">
      <c r="A328" t="s">
        <v>42</v>
      </c>
      <c r="B328">
        <v>1</v>
      </c>
      <c r="C328" t="s">
        <v>8</v>
      </c>
      <c r="D328" t="s">
        <v>0</v>
      </c>
      <c r="E328">
        <v>140</v>
      </c>
      <c r="F328">
        <v>0.38400000000000001</v>
      </c>
    </row>
    <row r="329" spans="1:6" x14ac:dyDescent="0.2">
      <c r="A329" t="s">
        <v>42</v>
      </c>
      <c r="B329">
        <v>1.5</v>
      </c>
      <c r="C329" t="s">
        <v>6</v>
      </c>
      <c r="D329" t="s">
        <v>0</v>
      </c>
      <c r="E329">
        <v>140</v>
      </c>
      <c r="F329">
        <v>0.60299999999999998</v>
      </c>
    </row>
    <row r="330" spans="1:6" x14ac:dyDescent="0.2">
      <c r="A330" t="s">
        <v>42</v>
      </c>
      <c r="B330">
        <v>1.5</v>
      </c>
      <c r="C330" t="s">
        <v>7</v>
      </c>
      <c r="D330" t="s">
        <v>0</v>
      </c>
      <c r="E330">
        <v>140</v>
      </c>
      <c r="F330">
        <v>0.61799999999999999</v>
      </c>
    </row>
    <row r="331" spans="1:6" x14ac:dyDescent="0.2">
      <c r="A331" t="s">
        <v>42</v>
      </c>
      <c r="B331">
        <v>1.5</v>
      </c>
      <c r="C331" t="s">
        <v>8</v>
      </c>
      <c r="D331" t="s">
        <v>0</v>
      </c>
      <c r="E331">
        <v>140</v>
      </c>
      <c r="F331">
        <v>0.45400000000000001</v>
      </c>
    </row>
    <row r="332" spans="1:6" x14ac:dyDescent="0.2">
      <c r="A332" t="s">
        <v>42</v>
      </c>
      <c r="B332">
        <v>0</v>
      </c>
      <c r="C332" t="s">
        <v>6</v>
      </c>
      <c r="D332" t="s">
        <v>0</v>
      </c>
      <c r="E332">
        <v>140</v>
      </c>
      <c r="F332">
        <v>0.23499999999999999</v>
      </c>
    </row>
    <row r="333" spans="1:6" x14ac:dyDescent="0.2">
      <c r="A333" t="s">
        <v>42</v>
      </c>
      <c r="B333">
        <v>0</v>
      </c>
      <c r="C333" t="s">
        <v>7</v>
      </c>
      <c r="D333" t="s">
        <v>0</v>
      </c>
      <c r="E333">
        <v>140</v>
      </c>
      <c r="F333">
        <v>0.23599999999999999</v>
      </c>
    </row>
    <row r="334" spans="1:6" x14ac:dyDescent="0.2">
      <c r="A334" t="s">
        <v>42</v>
      </c>
      <c r="B334">
        <v>0</v>
      </c>
      <c r="C334" t="s">
        <v>8</v>
      </c>
      <c r="D334" t="s">
        <v>0</v>
      </c>
      <c r="E334">
        <v>140</v>
      </c>
      <c r="F334">
        <v>0.23699999999999999</v>
      </c>
    </row>
    <row r="335" spans="1:6" x14ac:dyDescent="0.2">
      <c r="A335" t="s">
        <v>42</v>
      </c>
      <c r="B335">
        <v>0.25</v>
      </c>
      <c r="C335" t="s">
        <v>6</v>
      </c>
      <c r="D335" t="s">
        <v>24</v>
      </c>
      <c r="E335">
        <v>140</v>
      </c>
      <c r="F335">
        <v>12.28</v>
      </c>
    </row>
    <row r="336" spans="1:6" x14ac:dyDescent="0.2">
      <c r="A336" t="s">
        <v>42</v>
      </c>
      <c r="B336">
        <v>0.25</v>
      </c>
      <c r="C336" t="s">
        <v>7</v>
      </c>
      <c r="D336" t="s">
        <v>24</v>
      </c>
      <c r="E336">
        <v>140</v>
      </c>
      <c r="F336">
        <v>12</v>
      </c>
    </row>
    <row r="337" spans="1:6" x14ac:dyDescent="0.2">
      <c r="A337" t="s">
        <v>42</v>
      </c>
      <c r="B337">
        <v>0.25</v>
      </c>
      <c r="C337" t="s">
        <v>8</v>
      </c>
      <c r="D337" t="s">
        <v>24</v>
      </c>
      <c r="E337">
        <v>140</v>
      </c>
      <c r="F337">
        <v>11.88</v>
      </c>
    </row>
    <row r="338" spans="1:6" x14ac:dyDescent="0.2">
      <c r="A338" t="s">
        <v>42</v>
      </c>
      <c r="B338">
        <v>0.5</v>
      </c>
      <c r="C338" t="s">
        <v>6</v>
      </c>
      <c r="D338" t="s">
        <v>24</v>
      </c>
      <c r="E338">
        <v>140</v>
      </c>
      <c r="F338">
        <v>12.68</v>
      </c>
    </row>
    <row r="339" spans="1:6" x14ac:dyDescent="0.2">
      <c r="A339" t="s">
        <v>42</v>
      </c>
      <c r="B339">
        <v>0.5</v>
      </c>
      <c r="C339" t="s">
        <v>7</v>
      </c>
      <c r="D339" t="s">
        <v>24</v>
      </c>
      <c r="E339">
        <v>140</v>
      </c>
      <c r="F339">
        <v>12.8</v>
      </c>
    </row>
    <row r="340" spans="1:6" x14ac:dyDescent="0.2">
      <c r="A340" t="s">
        <v>42</v>
      </c>
      <c r="B340">
        <v>0.5</v>
      </c>
      <c r="C340" t="s">
        <v>8</v>
      </c>
      <c r="D340" t="s">
        <v>24</v>
      </c>
      <c r="E340">
        <v>140</v>
      </c>
      <c r="F340">
        <v>12.3</v>
      </c>
    </row>
    <row r="341" spans="1:6" x14ac:dyDescent="0.2">
      <c r="A341" t="s">
        <v>42</v>
      </c>
      <c r="B341">
        <v>1</v>
      </c>
      <c r="C341" t="s">
        <v>6</v>
      </c>
      <c r="D341" t="s">
        <v>24</v>
      </c>
      <c r="E341">
        <v>140</v>
      </c>
      <c r="F341">
        <v>11.06</v>
      </c>
    </row>
    <row r="342" spans="1:6" x14ac:dyDescent="0.2">
      <c r="A342" t="s">
        <v>42</v>
      </c>
      <c r="B342">
        <v>1</v>
      </c>
      <c r="C342" t="s">
        <v>7</v>
      </c>
      <c r="D342" t="s">
        <v>24</v>
      </c>
      <c r="E342">
        <v>140</v>
      </c>
      <c r="F342">
        <v>11.18</v>
      </c>
    </row>
    <row r="343" spans="1:6" x14ac:dyDescent="0.2">
      <c r="A343" t="s">
        <v>42</v>
      </c>
      <c r="B343">
        <v>1</v>
      </c>
      <c r="C343" t="s">
        <v>8</v>
      </c>
      <c r="D343" t="s">
        <v>24</v>
      </c>
      <c r="E343">
        <v>140</v>
      </c>
      <c r="F343">
        <v>11.12</v>
      </c>
    </row>
    <row r="344" spans="1:6" x14ac:dyDescent="0.2">
      <c r="A344" t="s">
        <v>42</v>
      </c>
      <c r="B344">
        <v>1.5</v>
      </c>
      <c r="C344" t="s">
        <v>6</v>
      </c>
      <c r="D344" t="s">
        <v>24</v>
      </c>
      <c r="E344">
        <v>140</v>
      </c>
      <c r="F344">
        <v>10.86</v>
      </c>
    </row>
    <row r="345" spans="1:6" x14ac:dyDescent="0.2">
      <c r="A345" t="s">
        <v>42</v>
      </c>
      <c r="B345">
        <v>1.5</v>
      </c>
      <c r="C345" t="s">
        <v>7</v>
      </c>
      <c r="D345" t="s">
        <v>24</v>
      </c>
      <c r="E345">
        <v>140</v>
      </c>
      <c r="F345">
        <v>11.08</v>
      </c>
    </row>
    <row r="346" spans="1:6" x14ac:dyDescent="0.2">
      <c r="A346" t="s">
        <v>42</v>
      </c>
      <c r="B346">
        <v>1.5</v>
      </c>
      <c r="C346" t="s">
        <v>8</v>
      </c>
      <c r="D346" t="s">
        <v>24</v>
      </c>
      <c r="E346">
        <v>140</v>
      </c>
      <c r="F346">
        <v>11.08</v>
      </c>
    </row>
    <row r="347" spans="1:6" x14ac:dyDescent="0.2">
      <c r="A347" t="s">
        <v>42</v>
      </c>
      <c r="B347">
        <v>0</v>
      </c>
      <c r="C347" t="s">
        <v>6</v>
      </c>
      <c r="D347" t="s">
        <v>24</v>
      </c>
      <c r="E347">
        <v>140</v>
      </c>
      <c r="F347">
        <v>0.3</v>
      </c>
    </row>
    <row r="348" spans="1:6" x14ac:dyDescent="0.2">
      <c r="A348" t="s">
        <v>42</v>
      </c>
      <c r="B348">
        <v>0</v>
      </c>
      <c r="C348" t="s">
        <v>7</v>
      </c>
      <c r="D348" t="s">
        <v>24</v>
      </c>
      <c r="E348">
        <v>140</v>
      </c>
      <c r="F348">
        <v>0.02</v>
      </c>
    </row>
    <row r="349" spans="1:6" x14ac:dyDescent="0.2">
      <c r="A349" t="s">
        <v>42</v>
      </c>
      <c r="B349">
        <v>0</v>
      </c>
      <c r="C349" t="s">
        <v>8</v>
      </c>
      <c r="D349" t="s">
        <v>24</v>
      </c>
      <c r="E349">
        <v>140</v>
      </c>
      <c r="F349">
        <v>-0.1</v>
      </c>
    </row>
    <row r="350" spans="1:6" x14ac:dyDescent="0.2">
      <c r="A350" t="s">
        <v>42</v>
      </c>
      <c r="B350">
        <v>0.25</v>
      </c>
      <c r="C350" t="s">
        <v>6</v>
      </c>
      <c r="D350" t="s">
        <v>1</v>
      </c>
      <c r="E350">
        <v>140</v>
      </c>
      <c r="F350">
        <v>6.86</v>
      </c>
    </row>
    <row r="351" spans="1:6" x14ac:dyDescent="0.2">
      <c r="A351" t="s">
        <v>42</v>
      </c>
      <c r="B351">
        <v>0.25</v>
      </c>
      <c r="C351" t="s">
        <v>7</v>
      </c>
      <c r="D351" t="s">
        <v>1</v>
      </c>
      <c r="E351">
        <v>140</v>
      </c>
      <c r="F351">
        <v>6.77</v>
      </c>
    </row>
    <row r="352" spans="1:6" x14ac:dyDescent="0.2">
      <c r="A352" t="s">
        <v>42</v>
      </c>
      <c r="B352">
        <v>0.25</v>
      </c>
      <c r="C352" t="s">
        <v>8</v>
      </c>
      <c r="D352" t="s">
        <v>1</v>
      </c>
      <c r="E352">
        <v>140</v>
      </c>
      <c r="F352">
        <v>6.75</v>
      </c>
    </row>
    <row r="353" spans="1:6" x14ac:dyDescent="0.2">
      <c r="A353" t="s">
        <v>42</v>
      </c>
      <c r="B353">
        <v>0.5</v>
      </c>
      <c r="C353" t="s">
        <v>6</v>
      </c>
      <c r="D353" t="s">
        <v>1</v>
      </c>
      <c r="E353">
        <v>140</v>
      </c>
      <c r="F353">
        <v>6.53</v>
      </c>
    </row>
    <row r="354" spans="1:6" x14ac:dyDescent="0.2">
      <c r="A354" t="s">
        <v>42</v>
      </c>
      <c r="B354">
        <v>0.5</v>
      </c>
      <c r="C354" t="s">
        <v>7</v>
      </c>
      <c r="D354" t="s">
        <v>1</v>
      </c>
      <c r="E354">
        <v>140</v>
      </c>
      <c r="F354">
        <v>6.54</v>
      </c>
    </row>
    <row r="355" spans="1:6" x14ac:dyDescent="0.2">
      <c r="A355" t="s">
        <v>42</v>
      </c>
      <c r="B355">
        <v>0.5</v>
      </c>
      <c r="C355" t="s">
        <v>8</v>
      </c>
      <c r="D355" t="s">
        <v>1</v>
      </c>
      <c r="E355">
        <v>140</v>
      </c>
      <c r="F355">
        <v>6.54</v>
      </c>
    </row>
    <row r="356" spans="1:6" x14ac:dyDescent="0.2">
      <c r="A356" t="s">
        <v>42</v>
      </c>
      <c r="B356">
        <v>1</v>
      </c>
      <c r="C356" t="s">
        <v>6</v>
      </c>
      <c r="D356" t="s">
        <v>1</v>
      </c>
      <c r="E356">
        <v>140</v>
      </c>
      <c r="F356">
        <v>6.04</v>
      </c>
    </row>
    <row r="357" spans="1:6" x14ac:dyDescent="0.2">
      <c r="A357" t="s">
        <v>42</v>
      </c>
      <c r="B357">
        <v>1</v>
      </c>
      <c r="C357" t="s">
        <v>7</v>
      </c>
      <c r="D357" t="s">
        <v>1</v>
      </c>
      <c r="E357">
        <v>140</v>
      </c>
      <c r="F357">
        <v>6.05</v>
      </c>
    </row>
    <row r="358" spans="1:6" x14ac:dyDescent="0.2">
      <c r="A358" t="s">
        <v>42</v>
      </c>
      <c r="B358">
        <v>1</v>
      </c>
      <c r="C358" t="s">
        <v>8</v>
      </c>
      <c r="D358" t="s">
        <v>1</v>
      </c>
      <c r="E358">
        <v>140</v>
      </c>
      <c r="F358">
        <v>6.04</v>
      </c>
    </row>
    <row r="359" spans="1:6" x14ac:dyDescent="0.2">
      <c r="A359" t="s">
        <v>42</v>
      </c>
      <c r="B359">
        <v>1.5</v>
      </c>
      <c r="C359" t="s">
        <v>6</v>
      </c>
      <c r="D359" t="s">
        <v>1</v>
      </c>
      <c r="E359">
        <v>140</v>
      </c>
      <c r="F359">
        <v>6</v>
      </c>
    </row>
    <row r="360" spans="1:6" x14ac:dyDescent="0.2">
      <c r="A360" t="s">
        <v>42</v>
      </c>
      <c r="B360">
        <v>1.5</v>
      </c>
      <c r="C360" t="s">
        <v>7</v>
      </c>
      <c r="D360" t="s">
        <v>1</v>
      </c>
      <c r="E360">
        <v>140</v>
      </c>
      <c r="F360">
        <v>6</v>
      </c>
    </row>
    <row r="361" spans="1:6" x14ac:dyDescent="0.2">
      <c r="A361" t="s">
        <v>42</v>
      </c>
      <c r="B361">
        <v>1.5</v>
      </c>
      <c r="C361" t="s">
        <v>8</v>
      </c>
      <c r="D361" t="s">
        <v>1</v>
      </c>
      <c r="E361">
        <v>140</v>
      </c>
      <c r="F361">
        <v>6.05</v>
      </c>
    </row>
    <row r="362" spans="1:6" x14ac:dyDescent="0.2">
      <c r="A362" t="s">
        <v>42</v>
      </c>
      <c r="B362">
        <v>0</v>
      </c>
      <c r="C362" t="s">
        <v>6</v>
      </c>
      <c r="D362" t="s">
        <v>1</v>
      </c>
      <c r="E362">
        <v>140</v>
      </c>
      <c r="F362">
        <v>5.8</v>
      </c>
    </row>
    <row r="363" spans="1:6" x14ac:dyDescent="0.2">
      <c r="A363" t="s">
        <v>42</v>
      </c>
      <c r="B363">
        <v>0</v>
      </c>
      <c r="C363" t="s">
        <v>7</v>
      </c>
      <c r="D363" t="s">
        <v>1</v>
      </c>
      <c r="E363">
        <v>140</v>
      </c>
      <c r="F363">
        <v>5.82</v>
      </c>
    </row>
    <row r="364" spans="1:6" x14ac:dyDescent="0.2">
      <c r="A364" t="s">
        <v>42</v>
      </c>
      <c r="B364">
        <v>0</v>
      </c>
      <c r="C364" t="s">
        <v>8</v>
      </c>
      <c r="D364" t="s">
        <v>1</v>
      </c>
      <c r="E364">
        <v>140</v>
      </c>
      <c r="F364">
        <v>5.78</v>
      </c>
    </row>
    <row r="365" spans="1:6" x14ac:dyDescent="0.2">
      <c r="A365" t="s">
        <v>42</v>
      </c>
      <c r="B365">
        <v>0.25</v>
      </c>
      <c r="C365" t="s">
        <v>6</v>
      </c>
      <c r="D365" t="s">
        <v>27</v>
      </c>
      <c r="E365">
        <v>140</v>
      </c>
      <c r="F365" s="1">
        <v>1.7800000000000002</v>
      </c>
    </row>
    <row r="366" spans="1:6" x14ac:dyDescent="0.2">
      <c r="A366" t="s">
        <v>42</v>
      </c>
      <c r="B366">
        <v>0.25</v>
      </c>
      <c r="C366" t="s">
        <v>7</v>
      </c>
      <c r="D366" t="s">
        <v>27</v>
      </c>
      <c r="E366">
        <v>140</v>
      </c>
      <c r="F366">
        <v>1.6899999999999995</v>
      </c>
    </row>
    <row r="367" spans="1:6" x14ac:dyDescent="0.2">
      <c r="A367" t="s">
        <v>42</v>
      </c>
      <c r="B367">
        <v>0.25</v>
      </c>
      <c r="C367" t="s">
        <v>8</v>
      </c>
      <c r="D367" t="s">
        <v>27</v>
      </c>
      <c r="E367">
        <v>140</v>
      </c>
      <c r="F367">
        <v>1.67</v>
      </c>
    </row>
    <row r="368" spans="1:6" x14ac:dyDescent="0.2">
      <c r="A368" t="s">
        <v>42</v>
      </c>
      <c r="B368">
        <v>0.5</v>
      </c>
      <c r="C368" t="s">
        <v>6</v>
      </c>
      <c r="D368" t="s">
        <v>27</v>
      </c>
      <c r="E368">
        <v>140</v>
      </c>
      <c r="F368">
        <v>1.4800000000000004</v>
      </c>
    </row>
    <row r="369" spans="1:6" x14ac:dyDescent="0.2">
      <c r="A369" t="s">
        <v>42</v>
      </c>
      <c r="B369">
        <v>0.5</v>
      </c>
      <c r="C369" t="s">
        <v>7</v>
      </c>
      <c r="D369" t="s">
        <v>27</v>
      </c>
      <c r="E369">
        <v>140</v>
      </c>
      <c r="F369">
        <v>1.4900000000000002</v>
      </c>
    </row>
    <row r="370" spans="1:6" x14ac:dyDescent="0.2">
      <c r="A370" t="s">
        <v>42</v>
      </c>
      <c r="B370">
        <v>0.5</v>
      </c>
      <c r="C370" t="s">
        <v>8</v>
      </c>
      <c r="D370" t="s">
        <v>27</v>
      </c>
      <c r="E370">
        <v>140</v>
      </c>
      <c r="F370">
        <v>1.4900000000000002</v>
      </c>
    </row>
    <row r="371" spans="1:6" x14ac:dyDescent="0.2">
      <c r="A371" t="s">
        <v>42</v>
      </c>
      <c r="B371">
        <v>1</v>
      </c>
      <c r="C371" t="s">
        <v>6</v>
      </c>
      <c r="D371" t="s">
        <v>27</v>
      </c>
      <c r="E371">
        <v>140</v>
      </c>
      <c r="F371">
        <v>0.98000000000000043</v>
      </c>
    </row>
    <row r="372" spans="1:6" x14ac:dyDescent="0.2">
      <c r="A372" t="s">
        <v>42</v>
      </c>
      <c r="B372">
        <v>1</v>
      </c>
      <c r="C372" t="s">
        <v>7</v>
      </c>
      <c r="D372" t="s">
        <v>27</v>
      </c>
      <c r="E372">
        <v>140</v>
      </c>
      <c r="F372">
        <v>0.99000000000000021</v>
      </c>
    </row>
    <row r="373" spans="1:6" x14ac:dyDescent="0.2">
      <c r="A373" t="s">
        <v>42</v>
      </c>
      <c r="B373">
        <v>1</v>
      </c>
      <c r="C373" t="s">
        <v>8</v>
      </c>
      <c r="D373" t="s">
        <v>27</v>
      </c>
      <c r="E373">
        <v>140</v>
      </c>
      <c r="F373">
        <v>0.98000000000000043</v>
      </c>
    </row>
    <row r="374" spans="1:6" x14ac:dyDescent="0.2">
      <c r="A374" t="s">
        <v>42</v>
      </c>
      <c r="B374">
        <v>1.5</v>
      </c>
      <c r="C374" t="s">
        <v>6</v>
      </c>
      <c r="D374" t="s">
        <v>27</v>
      </c>
      <c r="E374">
        <v>140</v>
      </c>
      <c r="F374">
        <v>0.96</v>
      </c>
    </row>
    <row r="375" spans="1:6" x14ac:dyDescent="0.2">
      <c r="A375" t="s">
        <v>42</v>
      </c>
      <c r="B375">
        <v>1.5</v>
      </c>
      <c r="C375" t="s">
        <v>7</v>
      </c>
      <c r="D375" t="s">
        <v>27</v>
      </c>
      <c r="E375">
        <v>140</v>
      </c>
      <c r="F375">
        <v>0.96</v>
      </c>
    </row>
    <row r="376" spans="1:6" x14ac:dyDescent="0.2">
      <c r="A376" t="s">
        <v>42</v>
      </c>
      <c r="B376">
        <v>1.5</v>
      </c>
      <c r="C376" t="s">
        <v>8</v>
      </c>
      <c r="D376" t="s">
        <v>27</v>
      </c>
      <c r="E376">
        <v>140</v>
      </c>
      <c r="F376">
        <v>1.0099999999999998</v>
      </c>
    </row>
    <row r="377" spans="1:6" x14ac:dyDescent="0.2">
      <c r="A377" t="s">
        <v>42</v>
      </c>
      <c r="B377">
        <v>0</v>
      </c>
      <c r="C377" t="s">
        <v>6</v>
      </c>
      <c r="D377" t="s">
        <v>27</v>
      </c>
      <c r="E377">
        <v>140</v>
      </c>
      <c r="F377">
        <v>0.37000000000000011</v>
      </c>
    </row>
    <row r="378" spans="1:6" x14ac:dyDescent="0.2">
      <c r="A378" t="s">
        <v>42</v>
      </c>
      <c r="B378">
        <v>0</v>
      </c>
      <c r="C378" t="s">
        <v>7</v>
      </c>
      <c r="D378" t="s">
        <v>27</v>
      </c>
      <c r="E378">
        <v>140</v>
      </c>
      <c r="F378">
        <v>0.39000000000000057</v>
      </c>
    </row>
    <row r="379" spans="1:6" x14ac:dyDescent="0.2">
      <c r="A379" t="s">
        <v>42</v>
      </c>
      <c r="B379">
        <v>0</v>
      </c>
      <c r="C379" t="s">
        <v>8</v>
      </c>
      <c r="D379" t="s">
        <v>27</v>
      </c>
      <c r="E379">
        <v>140</v>
      </c>
      <c r="F379">
        <v>0.35000000000000053</v>
      </c>
    </row>
    <row r="380" spans="1:6" x14ac:dyDescent="0.2">
      <c r="A380" s="1" t="s">
        <v>42</v>
      </c>
      <c r="B380" s="1">
        <v>0.25</v>
      </c>
      <c r="C380" s="1" t="s">
        <v>6</v>
      </c>
      <c r="D380" s="1" t="s">
        <v>10</v>
      </c>
      <c r="E380" s="1">
        <v>140</v>
      </c>
      <c r="F380" s="1">
        <v>12.337</v>
      </c>
    </row>
    <row r="381" spans="1:6" x14ac:dyDescent="0.2">
      <c r="A381" s="1" t="s">
        <v>42</v>
      </c>
      <c r="B381" s="1">
        <v>0.25</v>
      </c>
      <c r="C381" s="1" t="s">
        <v>7</v>
      </c>
      <c r="D381" s="1" t="s">
        <v>10</v>
      </c>
      <c r="E381" s="1">
        <v>140</v>
      </c>
      <c r="F381" s="1">
        <v>14.073</v>
      </c>
    </row>
    <row r="382" spans="1:6" x14ac:dyDescent="0.2">
      <c r="A382" s="1" t="s">
        <v>42</v>
      </c>
      <c r="B382" s="1">
        <v>0.25</v>
      </c>
      <c r="C382" s="1" t="s">
        <v>8</v>
      </c>
      <c r="D382" s="1" t="s">
        <v>10</v>
      </c>
      <c r="E382" s="1">
        <v>140</v>
      </c>
      <c r="F382" s="1">
        <v>11.978</v>
      </c>
    </row>
    <row r="383" spans="1:6" x14ac:dyDescent="0.2">
      <c r="A383" s="1" t="s">
        <v>42</v>
      </c>
      <c r="B383" s="1">
        <v>0.25</v>
      </c>
      <c r="C383" s="1" t="s">
        <v>6</v>
      </c>
      <c r="D383" s="1" t="s">
        <v>10</v>
      </c>
      <c r="E383" s="1">
        <v>94</v>
      </c>
      <c r="F383" s="1">
        <v>50.018000000000001</v>
      </c>
    </row>
    <row r="384" spans="1:6" x14ac:dyDescent="0.2">
      <c r="A384" s="1" t="s">
        <v>42</v>
      </c>
      <c r="B384" s="1">
        <v>0.25</v>
      </c>
      <c r="C384" s="1" t="s">
        <v>7</v>
      </c>
      <c r="D384" s="1" t="s">
        <v>10</v>
      </c>
      <c r="E384" s="1">
        <v>94</v>
      </c>
      <c r="F384" s="1">
        <v>37.997</v>
      </c>
    </row>
    <row r="385" spans="1:6" x14ac:dyDescent="0.2">
      <c r="A385" s="1" t="s">
        <v>42</v>
      </c>
      <c r="B385" s="1">
        <v>0.25</v>
      </c>
      <c r="C385" s="1" t="s">
        <v>8</v>
      </c>
      <c r="D385" s="1" t="s">
        <v>10</v>
      </c>
      <c r="E385" s="1">
        <v>94</v>
      </c>
      <c r="F385" s="1">
        <v>26.626999999999999</v>
      </c>
    </row>
    <row r="386" spans="1:6" x14ac:dyDescent="0.2">
      <c r="A386" s="1" t="s">
        <v>42</v>
      </c>
      <c r="B386" s="1">
        <v>0.25</v>
      </c>
      <c r="C386" s="1" t="s">
        <v>6</v>
      </c>
      <c r="D386" s="1" t="s">
        <v>10</v>
      </c>
      <c r="E386" s="1">
        <v>0</v>
      </c>
      <c r="F386" s="1">
        <v>89.274000000000001</v>
      </c>
    </row>
    <row r="387" spans="1:6" x14ac:dyDescent="0.2">
      <c r="A387" s="1" t="s">
        <v>42</v>
      </c>
      <c r="B387" s="1">
        <v>0.25</v>
      </c>
      <c r="C387" s="1" t="s">
        <v>7</v>
      </c>
      <c r="D387" s="1" t="s">
        <v>10</v>
      </c>
      <c r="E387" s="1">
        <v>0</v>
      </c>
      <c r="F387" s="1">
        <v>90.66</v>
      </c>
    </row>
    <row r="388" spans="1:6" x14ac:dyDescent="0.2">
      <c r="A388" s="1" t="s">
        <v>42</v>
      </c>
      <c r="B388" s="1">
        <v>0.25</v>
      </c>
      <c r="C388" s="1" t="s">
        <v>8</v>
      </c>
      <c r="D388" s="1" t="s">
        <v>10</v>
      </c>
      <c r="E388" s="1">
        <v>0</v>
      </c>
      <c r="F388" s="1">
        <v>91.311999999999998</v>
      </c>
    </row>
    <row r="389" spans="1:6" x14ac:dyDescent="0.2">
      <c r="A389" s="1" t="s">
        <v>42</v>
      </c>
      <c r="B389" s="1">
        <v>0.5</v>
      </c>
      <c r="C389" s="1" t="s">
        <v>6</v>
      </c>
      <c r="D389" s="1" t="s">
        <v>10</v>
      </c>
      <c r="E389" s="1">
        <v>140</v>
      </c>
      <c r="F389" s="1">
        <v>10.246</v>
      </c>
    </row>
    <row r="390" spans="1:6" x14ac:dyDescent="0.2">
      <c r="A390" s="1" t="s">
        <v>42</v>
      </c>
      <c r="B390" s="1">
        <v>0.5</v>
      </c>
      <c r="C390" s="1" t="s">
        <v>7</v>
      </c>
      <c r="D390" s="1" t="s">
        <v>10</v>
      </c>
      <c r="E390" s="1">
        <v>140</v>
      </c>
      <c r="F390" s="1">
        <v>9.3010000000000002</v>
      </c>
    </row>
    <row r="391" spans="1:6" x14ac:dyDescent="0.2">
      <c r="A391" s="1" t="s">
        <v>42</v>
      </c>
      <c r="B391" s="1">
        <v>0.5</v>
      </c>
      <c r="C391" s="1" t="s">
        <v>8</v>
      </c>
      <c r="D391" s="1" t="s">
        <v>10</v>
      </c>
      <c r="E391" s="1">
        <v>140</v>
      </c>
      <c r="F391" s="1">
        <v>10.266</v>
      </c>
    </row>
    <row r="392" spans="1:6" x14ac:dyDescent="0.2">
      <c r="A392" s="1" t="s">
        <v>42</v>
      </c>
      <c r="B392" s="1">
        <v>0.5</v>
      </c>
      <c r="C392" s="1" t="s">
        <v>6</v>
      </c>
      <c r="D392" s="1" t="s">
        <v>10</v>
      </c>
      <c r="E392" s="1">
        <v>94</v>
      </c>
      <c r="F392" s="1">
        <v>34.700000000000003</v>
      </c>
    </row>
    <row r="393" spans="1:6" x14ac:dyDescent="0.2">
      <c r="A393" s="1" t="s">
        <v>42</v>
      </c>
      <c r="B393" s="1">
        <v>0.5</v>
      </c>
      <c r="C393" s="1" t="s">
        <v>7</v>
      </c>
      <c r="D393" s="1" t="s">
        <v>10</v>
      </c>
      <c r="E393" s="1">
        <v>94</v>
      </c>
      <c r="F393" s="1">
        <v>30.347000000000001</v>
      </c>
    </row>
    <row r="394" spans="1:6" x14ac:dyDescent="0.2">
      <c r="A394" s="1" t="s">
        <v>42</v>
      </c>
      <c r="B394" s="1">
        <v>0.5</v>
      </c>
      <c r="C394" s="1" t="s">
        <v>8</v>
      </c>
      <c r="D394" s="1" t="s">
        <v>10</v>
      </c>
      <c r="E394" s="1">
        <v>94</v>
      </c>
      <c r="F394" s="1">
        <v>32.427</v>
      </c>
    </row>
    <row r="395" spans="1:6" x14ac:dyDescent="0.2">
      <c r="A395" s="1" t="s">
        <v>42</v>
      </c>
      <c r="B395" s="1">
        <v>0.5</v>
      </c>
      <c r="C395" s="1" t="s">
        <v>6</v>
      </c>
      <c r="D395" s="1" t="s">
        <v>10</v>
      </c>
      <c r="E395" s="1">
        <v>0</v>
      </c>
      <c r="F395" s="1">
        <v>90.531000000000006</v>
      </c>
    </row>
    <row r="396" spans="1:6" x14ac:dyDescent="0.2">
      <c r="A396" s="1" t="s">
        <v>42</v>
      </c>
      <c r="B396" s="1">
        <v>0.5</v>
      </c>
      <c r="C396" s="1" t="s">
        <v>7</v>
      </c>
      <c r="D396" s="1" t="s">
        <v>10</v>
      </c>
      <c r="E396" s="1">
        <v>0</v>
      </c>
      <c r="F396" s="1">
        <v>88.605999999999995</v>
      </c>
    </row>
    <row r="397" spans="1:6" x14ac:dyDescent="0.2">
      <c r="A397" s="1" t="s">
        <v>42</v>
      </c>
      <c r="B397" s="1">
        <v>0.5</v>
      </c>
      <c r="C397" s="1" t="s">
        <v>8</v>
      </c>
      <c r="D397" s="1" t="s">
        <v>10</v>
      </c>
      <c r="E397" s="1">
        <v>0</v>
      </c>
      <c r="F397" s="1">
        <v>90.492000000000004</v>
      </c>
    </row>
    <row r="398" spans="1:6" x14ac:dyDescent="0.2">
      <c r="A398" s="1" t="s">
        <v>42</v>
      </c>
      <c r="B398" s="1">
        <v>1</v>
      </c>
      <c r="C398" s="1" t="s">
        <v>6</v>
      </c>
      <c r="D398" s="1" t="s">
        <v>10</v>
      </c>
      <c r="E398" s="1">
        <v>140</v>
      </c>
      <c r="F398" s="1">
        <v>12.138999999999999</v>
      </c>
    </row>
    <row r="399" spans="1:6" x14ac:dyDescent="0.2">
      <c r="A399" s="1" t="s">
        <v>42</v>
      </c>
      <c r="B399" s="1">
        <v>1</v>
      </c>
      <c r="C399" s="1" t="s">
        <v>7</v>
      </c>
      <c r="D399" s="1" t="s">
        <v>10</v>
      </c>
      <c r="E399" s="1">
        <v>140</v>
      </c>
      <c r="F399" s="1">
        <v>10.532999999999999</v>
      </c>
    </row>
    <row r="400" spans="1:6" x14ac:dyDescent="0.2">
      <c r="A400" s="1" t="s">
        <v>42</v>
      </c>
      <c r="B400" s="1">
        <v>1</v>
      </c>
      <c r="C400" s="1" t="s">
        <v>8</v>
      </c>
      <c r="D400" s="1" t="s">
        <v>10</v>
      </c>
      <c r="E400" s="1">
        <v>140</v>
      </c>
      <c r="F400" s="1">
        <v>10.148</v>
      </c>
    </row>
    <row r="401" spans="1:6" x14ac:dyDescent="0.2">
      <c r="A401" s="1" t="s">
        <v>42</v>
      </c>
      <c r="B401" s="1">
        <v>1</v>
      </c>
      <c r="C401" s="1" t="s">
        <v>6</v>
      </c>
      <c r="D401" s="1" t="s">
        <v>10</v>
      </c>
      <c r="E401" s="1">
        <v>94</v>
      </c>
      <c r="F401" s="1">
        <v>13.664</v>
      </c>
    </row>
    <row r="402" spans="1:6" x14ac:dyDescent="0.2">
      <c r="A402" s="1" t="s">
        <v>42</v>
      </c>
      <c r="B402" s="1">
        <v>1</v>
      </c>
      <c r="C402" s="1" t="s">
        <v>7</v>
      </c>
      <c r="D402" s="1" t="s">
        <v>10</v>
      </c>
      <c r="E402" s="1">
        <v>94</v>
      </c>
      <c r="F402" s="1">
        <v>11.587999999999999</v>
      </c>
    </row>
    <row r="403" spans="1:6" x14ac:dyDescent="0.2">
      <c r="A403" s="1" t="s">
        <v>42</v>
      </c>
      <c r="B403" s="1">
        <v>1</v>
      </c>
      <c r="C403" s="1" t="s">
        <v>8</v>
      </c>
      <c r="D403" s="1" t="s">
        <v>10</v>
      </c>
      <c r="E403" s="1">
        <v>94</v>
      </c>
      <c r="F403" s="1">
        <v>11.33</v>
      </c>
    </row>
    <row r="404" spans="1:6" x14ac:dyDescent="0.2">
      <c r="A404" s="1" t="s">
        <v>42</v>
      </c>
      <c r="B404" s="1">
        <v>1</v>
      </c>
      <c r="C404" s="1" t="s">
        <v>6</v>
      </c>
      <c r="D404" s="1" t="s">
        <v>10</v>
      </c>
      <c r="E404" s="1">
        <v>0</v>
      </c>
      <c r="F404" s="1">
        <v>90.266999999999996</v>
      </c>
    </row>
    <row r="405" spans="1:6" x14ac:dyDescent="0.2">
      <c r="A405" s="1" t="s">
        <v>42</v>
      </c>
      <c r="B405" s="1">
        <v>1</v>
      </c>
      <c r="C405" s="1" t="s">
        <v>7</v>
      </c>
      <c r="D405" s="1" t="s">
        <v>10</v>
      </c>
      <c r="E405" s="1">
        <v>0</v>
      </c>
      <c r="F405" s="1">
        <v>90.245999999999995</v>
      </c>
    </row>
    <row r="406" spans="1:6" x14ac:dyDescent="0.2">
      <c r="A406" s="1" t="s">
        <v>42</v>
      </c>
      <c r="B406" s="1">
        <v>1</v>
      </c>
      <c r="C406" s="1" t="s">
        <v>8</v>
      </c>
      <c r="D406" s="1" t="s">
        <v>10</v>
      </c>
      <c r="E406" s="1">
        <v>0</v>
      </c>
      <c r="F406" s="1">
        <v>89.813000000000002</v>
      </c>
    </row>
    <row r="407" spans="1:6" x14ac:dyDescent="0.2">
      <c r="A407" s="1" t="s">
        <v>42</v>
      </c>
      <c r="B407" s="1">
        <v>1.5</v>
      </c>
      <c r="C407" s="1" t="s">
        <v>6</v>
      </c>
      <c r="D407" s="1" t="s">
        <v>10</v>
      </c>
      <c r="E407" s="1">
        <v>140</v>
      </c>
      <c r="F407" s="1">
        <v>0.254</v>
      </c>
    </row>
    <row r="408" spans="1:6" x14ac:dyDescent="0.2">
      <c r="A408" s="1" t="s">
        <v>42</v>
      </c>
      <c r="B408" s="1">
        <v>1.5</v>
      </c>
      <c r="C408" s="1" t="s">
        <v>7</v>
      </c>
      <c r="D408" s="1" t="s">
        <v>10</v>
      </c>
      <c r="E408" s="1">
        <v>140</v>
      </c>
      <c r="F408" s="1">
        <v>0.29899999999999999</v>
      </c>
    </row>
    <row r="409" spans="1:6" x14ac:dyDescent="0.2">
      <c r="A409" s="1" t="s">
        <v>42</v>
      </c>
      <c r="B409" s="1">
        <v>1.5</v>
      </c>
      <c r="C409" s="1" t="s">
        <v>8</v>
      </c>
      <c r="D409" s="1" t="s">
        <v>10</v>
      </c>
      <c r="E409" s="1">
        <v>140</v>
      </c>
      <c r="F409" s="1">
        <v>0.23200000000000001</v>
      </c>
    </row>
    <row r="410" spans="1:6" x14ac:dyDescent="0.2">
      <c r="A410" s="1" t="s">
        <v>42</v>
      </c>
      <c r="B410" s="1">
        <v>1.5</v>
      </c>
      <c r="C410" s="1" t="s">
        <v>6</v>
      </c>
      <c r="D410" s="1" t="s">
        <v>10</v>
      </c>
      <c r="E410" s="1">
        <v>94</v>
      </c>
      <c r="F410" s="1">
        <v>0.54800000000000004</v>
      </c>
    </row>
    <row r="411" spans="1:6" x14ac:dyDescent="0.2">
      <c r="A411" s="1" t="s">
        <v>42</v>
      </c>
      <c r="B411" s="1">
        <v>1.5</v>
      </c>
      <c r="C411" s="1" t="s">
        <v>7</v>
      </c>
      <c r="D411" s="1" t="s">
        <v>10</v>
      </c>
      <c r="E411" s="1">
        <v>94</v>
      </c>
      <c r="F411" s="1">
        <v>2.7149999999999999</v>
      </c>
    </row>
    <row r="412" spans="1:6" x14ac:dyDescent="0.2">
      <c r="A412" s="1" t="s">
        <v>42</v>
      </c>
      <c r="B412" s="1">
        <v>1.5</v>
      </c>
      <c r="C412" s="1" t="s">
        <v>8</v>
      </c>
      <c r="D412" s="1" t="s">
        <v>10</v>
      </c>
      <c r="E412" s="1">
        <v>94</v>
      </c>
      <c r="F412" s="1">
        <v>0.42299999999999999</v>
      </c>
    </row>
    <row r="413" spans="1:6" x14ac:dyDescent="0.2">
      <c r="A413" s="1" t="s">
        <v>42</v>
      </c>
      <c r="B413" s="1">
        <v>1.5</v>
      </c>
      <c r="C413" s="1" t="s">
        <v>6</v>
      </c>
      <c r="D413" s="1" t="s">
        <v>10</v>
      </c>
      <c r="E413" s="1">
        <v>0</v>
      </c>
      <c r="F413" s="1">
        <v>90.700999999999993</v>
      </c>
    </row>
    <row r="414" spans="1:6" x14ac:dyDescent="0.2">
      <c r="A414" s="1" t="s">
        <v>42</v>
      </c>
      <c r="B414" s="1">
        <v>1.5</v>
      </c>
      <c r="C414" s="1" t="s">
        <v>7</v>
      </c>
      <c r="D414" s="1" t="s">
        <v>10</v>
      </c>
      <c r="E414" s="1">
        <v>0</v>
      </c>
      <c r="F414" s="1">
        <v>90.87</v>
      </c>
    </row>
    <row r="415" spans="1:6" x14ac:dyDescent="0.2">
      <c r="A415" s="1" t="s">
        <v>42</v>
      </c>
      <c r="B415" s="1">
        <v>1.5</v>
      </c>
      <c r="C415" s="1" t="s">
        <v>8</v>
      </c>
      <c r="D415" s="1" t="s">
        <v>10</v>
      </c>
      <c r="E415" s="1">
        <v>0</v>
      </c>
      <c r="F415" s="1">
        <v>91.122</v>
      </c>
    </row>
    <row r="416" spans="1:6" x14ac:dyDescent="0.2">
      <c r="A416" s="1" t="s">
        <v>42</v>
      </c>
      <c r="B416" s="1">
        <v>0</v>
      </c>
      <c r="C416" s="1" t="s">
        <v>6</v>
      </c>
      <c r="D416" s="1" t="s">
        <v>10</v>
      </c>
      <c r="E416" s="1">
        <v>140</v>
      </c>
      <c r="F416" s="1">
        <v>6.6000000000000003E-2</v>
      </c>
    </row>
    <row r="417" spans="1:6" x14ac:dyDescent="0.2">
      <c r="A417" s="1" t="s">
        <v>42</v>
      </c>
      <c r="B417" s="1">
        <v>0</v>
      </c>
      <c r="C417" s="1" t="s">
        <v>7</v>
      </c>
      <c r="D417" s="1" t="s">
        <v>10</v>
      </c>
      <c r="E417" s="1">
        <v>140</v>
      </c>
      <c r="F417" s="1">
        <v>6.3E-2</v>
      </c>
    </row>
    <row r="418" spans="1:6" x14ac:dyDescent="0.2">
      <c r="A418" s="1" t="s">
        <v>42</v>
      </c>
      <c r="B418" s="1">
        <v>0</v>
      </c>
      <c r="C418" s="1" t="s">
        <v>8</v>
      </c>
      <c r="D418" s="1" t="s">
        <v>10</v>
      </c>
      <c r="E418" s="1">
        <v>140</v>
      </c>
      <c r="F418" s="1">
        <v>6.8000000000000005E-2</v>
      </c>
    </row>
    <row r="419" spans="1:6" x14ac:dyDescent="0.2">
      <c r="A419" s="1" t="s">
        <v>42</v>
      </c>
      <c r="B419" s="1">
        <v>0</v>
      </c>
      <c r="C419" s="1" t="s">
        <v>6</v>
      </c>
      <c r="D419" s="1" t="s">
        <v>10</v>
      </c>
      <c r="E419" s="1">
        <v>0</v>
      </c>
      <c r="F419" s="1">
        <v>0.17699999999999999</v>
      </c>
    </row>
    <row r="420" spans="1:6" x14ac:dyDescent="0.2">
      <c r="A420" s="1" t="s">
        <v>42</v>
      </c>
      <c r="B420" s="1">
        <v>0</v>
      </c>
      <c r="C420" s="1" t="s">
        <v>7</v>
      </c>
      <c r="D420" s="1" t="s">
        <v>10</v>
      </c>
      <c r="E420" s="1">
        <v>0</v>
      </c>
      <c r="F420" s="1">
        <v>0.17899999999999999</v>
      </c>
    </row>
    <row r="421" spans="1:6" x14ac:dyDescent="0.2">
      <c r="A421" s="1" t="s">
        <v>42</v>
      </c>
      <c r="B421" s="1">
        <v>0</v>
      </c>
      <c r="C421" s="1" t="s">
        <v>8</v>
      </c>
      <c r="D421" s="1" t="s">
        <v>10</v>
      </c>
      <c r="E421" s="1">
        <v>0</v>
      </c>
      <c r="F421" s="1">
        <v>0.18099999999999999</v>
      </c>
    </row>
    <row r="422" spans="1:6" x14ac:dyDescent="0.2">
      <c r="A422" s="1" t="s">
        <v>42</v>
      </c>
      <c r="B422" s="1">
        <v>0.25</v>
      </c>
      <c r="C422" s="1" t="s">
        <v>6</v>
      </c>
      <c r="D422" s="1" t="s">
        <v>25</v>
      </c>
      <c r="E422" s="1">
        <v>140</v>
      </c>
      <c r="F422" s="1">
        <v>24.654</v>
      </c>
    </row>
    <row r="423" spans="1:6" x14ac:dyDescent="0.2">
      <c r="A423" s="1" t="s">
        <v>42</v>
      </c>
      <c r="B423" s="1">
        <v>0.25</v>
      </c>
      <c r="C423" s="1" t="s">
        <v>7</v>
      </c>
      <c r="D423" s="1" t="s">
        <v>25</v>
      </c>
      <c r="E423" s="1">
        <v>140</v>
      </c>
      <c r="F423" s="1">
        <v>23.030999999999999</v>
      </c>
    </row>
    <row r="424" spans="1:6" x14ac:dyDescent="0.2">
      <c r="A424" s="1" t="s">
        <v>42</v>
      </c>
      <c r="B424" s="1">
        <v>0.25</v>
      </c>
      <c r="C424" s="1" t="s">
        <v>8</v>
      </c>
      <c r="D424" s="1" t="s">
        <v>25</v>
      </c>
      <c r="E424" s="1">
        <v>140</v>
      </c>
      <c r="F424" s="1">
        <v>19.971</v>
      </c>
    </row>
    <row r="425" spans="1:6" x14ac:dyDescent="0.2">
      <c r="A425" s="1" t="s">
        <v>42</v>
      </c>
      <c r="B425" s="1">
        <v>0.25</v>
      </c>
      <c r="C425" s="1" t="s">
        <v>6</v>
      </c>
      <c r="D425" s="1" t="s">
        <v>25</v>
      </c>
      <c r="E425" s="1">
        <v>94</v>
      </c>
      <c r="F425" s="1">
        <v>59.554000000000002</v>
      </c>
    </row>
    <row r="426" spans="1:6" x14ac:dyDescent="0.2">
      <c r="A426" s="1" t="s">
        <v>42</v>
      </c>
      <c r="B426" s="1">
        <v>0.25</v>
      </c>
      <c r="C426" s="1" t="s">
        <v>7</v>
      </c>
      <c r="D426" s="1" t="s">
        <v>25</v>
      </c>
      <c r="E426" s="1">
        <v>94</v>
      </c>
      <c r="F426" s="1">
        <v>24.486000000000001</v>
      </c>
    </row>
    <row r="427" spans="1:6" x14ac:dyDescent="0.2">
      <c r="A427" s="1" t="s">
        <v>42</v>
      </c>
      <c r="B427" s="1">
        <v>0.25</v>
      </c>
      <c r="C427" s="1" t="s">
        <v>8</v>
      </c>
      <c r="D427" s="1" t="s">
        <v>25</v>
      </c>
      <c r="E427" s="1">
        <v>94</v>
      </c>
      <c r="F427" s="1">
        <v>25.347000000000001</v>
      </c>
    </row>
    <row r="428" spans="1:6" x14ac:dyDescent="0.2">
      <c r="A428" s="1" t="s">
        <v>42</v>
      </c>
      <c r="B428" s="1">
        <v>0.25</v>
      </c>
      <c r="C428" s="1" t="s">
        <v>6</v>
      </c>
      <c r="D428" s="1" t="s">
        <v>25</v>
      </c>
      <c r="E428" s="1">
        <v>0</v>
      </c>
      <c r="F428" s="1">
        <v>0.13100000000000001</v>
      </c>
    </row>
    <row r="429" spans="1:6" x14ac:dyDescent="0.2">
      <c r="A429" s="1" t="s">
        <v>42</v>
      </c>
      <c r="B429" s="1">
        <v>0.25</v>
      </c>
      <c r="C429" s="1" t="s">
        <v>7</v>
      </c>
      <c r="D429" s="1" t="s">
        <v>25</v>
      </c>
      <c r="E429" s="1">
        <v>0</v>
      </c>
      <c r="F429" s="1">
        <v>0.18099999999999999</v>
      </c>
    </row>
    <row r="430" spans="1:6" x14ac:dyDescent="0.2">
      <c r="A430" s="1" t="s">
        <v>42</v>
      </c>
      <c r="B430" s="1">
        <v>0.25</v>
      </c>
      <c r="C430" s="1" t="s">
        <v>8</v>
      </c>
      <c r="D430" s="1" t="s">
        <v>25</v>
      </c>
      <c r="E430" s="1">
        <v>0</v>
      </c>
      <c r="F430" s="1">
        <v>0.19500000000000001</v>
      </c>
    </row>
    <row r="431" spans="1:6" x14ac:dyDescent="0.2">
      <c r="A431" s="1" t="s">
        <v>42</v>
      </c>
      <c r="B431" s="1">
        <v>0.5</v>
      </c>
      <c r="C431" s="1" t="s">
        <v>6</v>
      </c>
      <c r="D431" s="1" t="s">
        <v>25</v>
      </c>
      <c r="E431" s="1">
        <v>140</v>
      </c>
      <c r="F431" s="1">
        <v>34.432000000000002</v>
      </c>
    </row>
    <row r="432" spans="1:6" x14ac:dyDescent="0.2">
      <c r="A432" s="1" t="s">
        <v>42</v>
      </c>
      <c r="B432" s="1">
        <v>0.5</v>
      </c>
      <c r="C432" s="1" t="s">
        <v>7</v>
      </c>
      <c r="D432" s="1" t="s">
        <v>25</v>
      </c>
      <c r="E432" s="1">
        <v>140</v>
      </c>
      <c r="F432" s="1">
        <v>39.975999999999999</v>
      </c>
    </row>
    <row r="433" spans="1:6" x14ac:dyDescent="0.2">
      <c r="A433" s="1" t="s">
        <v>42</v>
      </c>
      <c r="B433" s="1">
        <v>0.5</v>
      </c>
      <c r="C433" s="1" t="s">
        <v>8</v>
      </c>
      <c r="D433" s="1" t="s">
        <v>25</v>
      </c>
      <c r="E433" s="1">
        <v>140</v>
      </c>
      <c r="F433" s="1">
        <v>33.962000000000003</v>
      </c>
    </row>
    <row r="434" spans="1:6" x14ac:dyDescent="0.2">
      <c r="A434" s="1" t="s">
        <v>42</v>
      </c>
      <c r="B434" s="1">
        <v>0.5</v>
      </c>
      <c r="C434" s="1" t="s">
        <v>6</v>
      </c>
      <c r="D434" s="1" t="s">
        <v>25</v>
      </c>
      <c r="E434" s="1">
        <v>94</v>
      </c>
      <c r="F434" s="1">
        <v>36.08</v>
      </c>
    </row>
    <row r="435" spans="1:6" x14ac:dyDescent="0.2">
      <c r="A435" s="1" t="s">
        <v>42</v>
      </c>
      <c r="B435" s="1">
        <v>0.5</v>
      </c>
      <c r="C435" s="1" t="s">
        <v>7</v>
      </c>
      <c r="D435" s="1" t="s">
        <v>25</v>
      </c>
      <c r="E435" s="1">
        <v>94</v>
      </c>
      <c r="F435" s="1">
        <v>36.622</v>
      </c>
    </row>
    <row r="436" spans="1:6" x14ac:dyDescent="0.2">
      <c r="A436" s="1" t="s">
        <v>42</v>
      </c>
      <c r="B436" s="1">
        <v>0.5</v>
      </c>
      <c r="C436" s="1" t="s">
        <v>8</v>
      </c>
      <c r="D436" s="1" t="s">
        <v>25</v>
      </c>
      <c r="E436" s="1">
        <v>94</v>
      </c>
      <c r="F436" s="1">
        <v>36.314</v>
      </c>
    </row>
    <row r="437" spans="1:6" x14ac:dyDescent="0.2">
      <c r="A437" s="1" t="s">
        <v>42</v>
      </c>
      <c r="B437" s="1">
        <v>0.5</v>
      </c>
      <c r="C437" s="1" t="s">
        <v>6</v>
      </c>
      <c r="D437" s="1" t="s">
        <v>25</v>
      </c>
      <c r="E437" s="1">
        <v>0</v>
      </c>
      <c r="F437" s="1">
        <v>0.20699999999999999</v>
      </c>
    </row>
    <row r="438" spans="1:6" x14ac:dyDescent="0.2">
      <c r="A438" s="1" t="s">
        <v>42</v>
      </c>
      <c r="B438" s="1">
        <v>0.5</v>
      </c>
      <c r="C438" s="1" t="s">
        <v>7</v>
      </c>
      <c r="D438" s="1" t="s">
        <v>25</v>
      </c>
      <c r="E438" s="1">
        <v>0</v>
      </c>
      <c r="F438" s="1">
        <v>0.17899999999999999</v>
      </c>
    </row>
    <row r="439" spans="1:6" x14ac:dyDescent="0.2">
      <c r="A439" s="1" t="s">
        <v>42</v>
      </c>
      <c r="B439" s="1">
        <v>0.5</v>
      </c>
      <c r="C439" s="1" t="s">
        <v>8</v>
      </c>
      <c r="D439" s="1" t="s">
        <v>25</v>
      </c>
      <c r="E439" s="1">
        <v>0</v>
      </c>
      <c r="F439" s="1">
        <v>0.11799999999999999</v>
      </c>
    </row>
    <row r="440" spans="1:6" x14ac:dyDescent="0.2">
      <c r="A440" s="1" t="s">
        <v>42</v>
      </c>
      <c r="B440" s="1">
        <v>1</v>
      </c>
      <c r="C440" s="1" t="s">
        <v>6</v>
      </c>
      <c r="D440" s="1" t="s">
        <v>25</v>
      </c>
      <c r="E440" s="1">
        <v>140</v>
      </c>
      <c r="F440" s="1">
        <v>59.695999999999998</v>
      </c>
    </row>
    <row r="441" spans="1:6" x14ac:dyDescent="0.2">
      <c r="A441" s="1" t="s">
        <v>42</v>
      </c>
      <c r="B441" s="1">
        <v>1</v>
      </c>
      <c r="C441" s="1" t="s">
        <v>7</v>
      </c>
      <c r="D441" s="1" t="s">
        <v>25</v>
      </c>
      <c r="E441" s="1">
        <v>140</v>
      </c>
      <c r="F441" s="1">
        <v>62.94</v>
      </c>
    </row>
    <row r="442" spans="1:6" x14ac:dyDescent="0.2">
      <c r="A442" s="1" t="s">
        <v>42</v>
      </c>
      <c r="B442" s="1">
        <v>1</v>
      </c>
      <c r="C442" s="1" t="s">
        <v>8</v>
      </c>
      <c r="D442" s="1" t="s">
        <v>25</v>
      </c>
      <c r="E442" s="1">
        <v>140</v>
      </c>
      <c r="F442" s="1">
        <v>62.344000000000001</v>
      </c>
    </row>
    <row r="443" spans="1:6" x14ac:dyDescent="0.2">
      <c r="A443" s="1" t="s">
        <v>42</v>
      </c>
      <c r="B443" s="1">
        <v>1</v>
      </c>
      <c r="C443" s="1" t="s">
        <v>6</v>
      </c>
      <c r="D443" s="1" t="s">
        <v>25</v>
      </c>
      <c r="E443" s="1">
        <v>94</v>
      </c>
      <c r="F443" s="1">
        <v>63.847999999999999</v>
      </c>
    </row>
    <row r="444" spans="1:6" x14ac:dyDescent="0.2">
      <c r="A444" s="1" t="s">
        <v>42</v>
      </c>
      <c r="B444" s="1">
        <v>1</v>
      </c>
      <c r="C444" s="1" t="s">
        <v>7</v>
      </c>
      <c r="D444" s="1" t="s">
        <v>25</v>
      </c>
      <c r="E444" s="1">
        <v>94</v>
      </c>
      <c r="F444" s="1">
        <v>65.602000000000004</v>
      </c>
    </row>
    <row r="445" spans="1:6" x14ac:dyDescent="0.2">
      <c r="A445" s="1" t="s">
        <v>42</v>
      </c>
      <c r="B445" s="1">
        <v>1</v>
      </c>
      <c r="C445" s="1" t="s">
        <v>8</v>
      </c>
      <c r="D445" s="1" t="s">
        <v>25</v>
      </c>
      <c r="E445" s="1">
        <v>94</v>
      </c>
      <c r="F445" s="1">
        <v>66.106999999999999</v>
      </c>
    </row>
    <row r="446" spans="1:6" x14ac:dyDescent="0.2">
      <c r="A446" s="1" t="s">
        <v>42</v>
      </c>
      <c r="B446" s="1">
        <v>1</v>
      </c>
      <c r="C446" s="1" t="s">
        <v>6</v>
      </c>
      <c r="D446" s="1" t="s">
        <v>25</v>
      </c>
      <c r="E446" s="1">
        <v>0</v>
      </c>
      <c r="F446" s="1">
        <v>0.313</v>
      </c>
    </row>
    <row r="447" spans="1:6" x14ac:dyDescent="0.2">
      <c r="A447" s="1" t="s">
        <v>42</v>
      </c>
      <c r="B447" s="1">
        <v>1</v>
      </c>
      <c r="C447" s="1" t="s">
        <v>7</v>
      </c>
      <c r="D447" s="1" t="s">
        <v>25</v>
      </c>
      <c r="E447" s="1">
        <v>0</v>
      </c>
      <c r="F447" s="1">
        <v>0.14099999999999999</v>
      </c>
    </row>
    <row r="448" spans="1:6" x14ac:dyDescent="0.2">
      <c r="A448" s="1" t="s">
        <v>42</v>
      </c>
      <c r="B448" s="1">
        <v>1</v>
      </c>
      <c r="C448" s="1" t="s">
        <v>8</v>
      </c>
      <c r="D448" s="1" t="s">
        <v>25</v>
      </c>
      <c r="E448" s="1">
        <v>0</v>
      </c>
      <c r="F448" s="1">
        <v>0.16400000000000001</v>
      </c>
    </row>
    <row r="449" spans="1:6" x14ac:dyDescent="0.2">
      <c r="A449" s="1" t="s">
        <v>42</v>
      </c>
      <c r="B449" s="1">
        <v>1.5</v>
      </c>
      <c r="C449" s="1" t="s">
        <v>6</v>
      </c>
      <c r="D449" s="1" t="s">
        <v>25</v>
      </c>
      <c r="E449" s="1">
        <v>140</v>
      </c>
      <c r="F449" s="1">
        <v>75.978999999999999</v>
      </c>
    </row>
    <row r="450" spans="1:6" x14ac:dyDescent="0.2">
      <c r="A450" s="1" t="s">
        <v>42</v>
      </c>
      <c r="B450" s="1">
        <v>1.5</v>
      </c>
      <c r="C450" s="1" t="s">
        <v>7</v>
      </c>
      <c r="D450" s="1" t="s">
        <v>25</v>
      </c>
      <c r="E450" s="1">
        <v>140</v>
      </c>
      <c r="F450" s="1">
        <v>77.308999999999997</v>
      </c>
    </row>
    <row r="451" spans="1:6" x14ac:dyDescent="0.2">
      <c r="A451" s="1" t="s">
        <v>42</v>
      </c>
      <c r="B451" s="1">
        <v>1.5</v>
      </c>
      <c r="C451" s="1" t="s">
        <v>8</v>
      </c>
      <c r="D451" s="1" t="s">
        <v>25</v>
      </c>
      <c r="E451" s="1">
        <v>140</v>
      </c>
      <c r="F451" s="1">
        <v>72.597999999999999</v>
      </c>
    </row>
    <row r="452" spans="1:6" x14ac:dyDescent="0.2">
      <c r="A452" s="1" t="s">
        <v>42</v>
      </c>
      <c r="B452" s="1">
        <v>1.5</v>
      </c>
      <c r="C452" s="1" t="s">
        <v>6</v>
      </c>
      <c r="D452" s="1" t="s">
        <v>25</v>
      </c>
      <c r="E452" s="1">
        <v>94</v>
      </c>
      <c r="F452" s="1">
        <v>77.346000000000004</v>
      </c>
    </row>
    <row r="453" spans="1:6" x14ac:dyDescent="0.2">
      <c r="A453" s="1" t="s">
        <v>42</v>
      </c>
      <c r="B453" s="1">
        <v>1.5</v>
      </c>
      <c r="C453" s="1" t="s">
        <v>7</v>
      </c>
      <c r="D453" s="1" t="s">
        <v>25</v>
      </c>
      <c r="E453" s="1">
        <v>94</v>
      </c>
      <c r="F453" s="1">
        <v>75.134</v>
      </c>
    </row>
    <row r="454" spans="1:6" x14ac:dyDescent="0.2">
      <c r="A454" s="1" t="s">
        <v>42</v>
      </c>
      <c r="B454" s="1">
        <v>1.5</v>
      </c>
      <c r="C454" s="1" t="s">
        <v>8</v>
      </c>
      <c r="D454" s="1" t="s">
        <v>25</v>
      </c>
      <c r="E454" s="1">
        <v>94</v>
      </c>
      <c r="F454" s="1">
        <v>77.484999999999999</v>
      </c>
    </row>
    <row r="455" spans="1:6" x14ac:dyDescent="0.2">
      <c r="A455" s="1" t="s">
        <v>42</v>
      </c>
      <c r="B455" s="1">
        <v>1.5</v>
      </c>
      <c r="C455" s="1" t="s">
        <v>6</v>
      </c>
      <c r="D455" s="1" t="s">
        <v>25</v>
      </c>
      <c r="E455" s="1">
        <v>0</v>
      </c>
      <c r="F455" s="1">
        <v>0.26</v>
      </c>
    </row>
    <row r="456" spans="1:6" x14ac:dyDescent="0.2">
      <c r="A456" s="1" t="s">
        <v>42</v>
      </c>
      <c r="B456" s="1">
        <v>1.5</v>
      </c>
      <c r="C456" s="1" t="s">
        <v>7</v>
      </c>
      <c r="D456" s="1" t="s">
        <v>25</v>
      </c>
      <c r="E456" s="1">
        <v>0</v>
      </c>
      <c r="F456" s="1">
        <v>0.23</v>
      </c>
    </row>
    <row r="457" spans="1:6" x14ac:dyDescent="0.2">
      <c r="A457" s="1" t="s">
        <v>42</v>
      </c>
      <c r="B457" s="1">
        <v>1.5</v>
      </c>
      <c r="C457" s="1" t="s">
        <v>8</v>
      </c>
      <c r="D457" s="1" t="s">
        <v>25</v>
      </c>
      <c r="E457" s="1">
        <v>0</v>
      </c>
      <c r="F457" s="1">
        <v>0.36</v>
      </c>
    </row>
    <row r="458" spans="1:6" x14ac:dyDescent="0.2">
      <c r="A458" s="1" t="s">
        <v>42</v>
      </c>
      <c r="B458" s="1">
        <v>0</v>
      </c>
      <c r="C458" s="1" t="s">
        <v>6</v>
      </c>
      <c r="D458" s="1" t="s">
        <v>25</v>
      </c>
      <c r="E458" s="1">
        <v>140</v>
      </c>
      <c r="F458" s="1">
        <v>3.0790000000000002</v>
      </c>
    </row>
    <row r="459" spans="1:6" x14ac:dyDescent="0.2">
      <c r="A459" s="1" t="s">
        <v>42</v>
      </c>
      <c r="B459" s="1">
        <v>0</v>
      </c>
      <c r="C459" s="1" t="s">
        <v>7</v>
      </c>
      <c r="D459" s="1" t="s">
        <v>25</v>
      </c>
      <c r="E459" s="1">
        <v>140</v>
      </c>
      <c r="F459" s="1">
        <v>2.7149999999999999</v>
      </c>
    </row>
    <row r="460" spans="1:6" x14ac:dyDescent="0.2">
      <c r="A460" s="1" t="s">
        <v>42</v>
      </c>
      <c r="B460" s="1">
        <v>0</v>
      </c>
      <c r="C460" s="1" t="s">
        <v>8</v>
      </c>
      <c r="D460" s="1" t="s">
        <v>25</v>
      </c>
      <c r="E460" s="1">
        <v>140</v>
      </c>
      <c r="F460" s="1">
        <v>2.79</v>
      </c>
    </row>
    <row r="461" spans="1:6" x14ac:dyDescent="0.2">
      <c r="A461" s="1" t="s">
        <v>42</v>
      </c>
      <c r="B461" s="1">
        <v>0</v>
      </c>
      <c r="C461" s="1" t="s">
        <v>6</v>
      </c>
      <c r="D461" s="1" t="s">
        <v>25</v>
      </c>
      <c r="E461" s="1">
        <v>0</v>
      </c>
      <c r="F461" s="1">
        <v>0.27800000000000002</v>
      </c>
    </row>
    <row r="462" spans="1:6" x14ac:dyDescent="0.2">
      <c r="A462" s="1" t="s">
        <v>42</v>
      </c>
      <c r="B462" s="1">
        <v>0</v>
      </c>
      <c r="C462" s="1" t="s">
        <v>7</v>
      </c>
      <c r="D462" s="1" t="s">
        <v>25</v>
      </c>
      <c r="E462" s="1">
        <v>0</v>
      </c>
      <c r="F462" s="1">
        <v>0.23599999999999999</v>
      </c>
    </row>
    <row r="463" spans="1:6" x14ac:dyDescent="0.2">
      <c r="A463" s="1" t="s">
        <v>42</v>
      </c>
      <c r="B463" s="1">
        <v>0</v>
      </c>
      <c r="C463" s="1" t="s">
        <v>8</v>
      </c>
      <c r="D463" s="1" t="s">
        <v>25</v>
      </c>
      <c r="E463" s="1">
        <v>0</v>
      </c>
      <c r="F463" s="1">
        <v>0.24099999999999999</v>
      </c>
    </row>
    <row r="464" spans="1:6" x14ac:dyDescent="0.2">
      <c r="A464" s="1" t="s">
        <v>42</v>
      </c>
      <c r="B464" s="1">
        <v>0.25</v>
      </c>
      <c r="C464" s="1" t="s">
        <v>6</v>
      </c>
      <c r="D464" s="1" t="s">
        <v>28</v>
      </c>
      <c r="E464" s="1">
        <v>140</v>
      </c>
      <c r="F464" s="1" t="s">
        <v>29</v>
      </c>
    </row>
    <row r="465" spans="1:6" x14ac:dyDescent="0.2">
      <c r="A465" s="1" t="s">
        <v>42</v>
      </c>
      <c r="B465" s="1">
        <v>0.25</v>
      </c>
      <c r="C465" s="1" t="s">
        <v>7</v>
      </c>
      <c r="D465" s="1" t="s">
        <v>28</v>
      </c>
      <c r="E465" s="1">
        <v>140</v>
      </c>
      <c r="F465" s="1" t="s">
        <v>29</v>
      </c>
    </row>
    <row r="466" spans="1:6" x14ac:dyDescent="0.2">
      <c r="A466" s="1" t="s">
        <v>42</v>
      </c>
      <c r="B466" s="1">
        <v>0.25</v>
      </c>
      <c r="C466" s="1" t="s">
        <v>8</v>
      </c>
      <c r="D466" s="1" t="s">
        <v>28</v>
      </c>
      <c r="E466" s="1">
        <v>140</v>
      </c>
      <c r="F466" s="1" t="s">
        <v>29</v>
      </c>
    </row>
    <row r="467" spans="1:6" x14ac:dyDescent="0.2">
      <c r="A467" s="1" t="s">
        <v>42</v>
      </c>
      <c r="B467" s="1">
        <v>0.25</v>
      </c>
      <c r="C467" s="1" t="s">
        <v>6</v>
      </c>
      <c r="D467" s="1" t="s">
        <v>28</v>
      </c>
      <c r="E467" s="1">
        <v>94</v>
      </c>
      <c r="F467" s="1" t="s">
        <v>29</v>
      </c>
    </row>
    <row r="468" spans="1:6" x14ac:dyDescent="0.2">
      <c r="A468" s="1" t="s">
        <v>42</v>
      </c>
      <c r="B468" s="1">
        <v>0.25</v>
      </c>
      <c r="C468" s="1" t="s">
        <v>7</v>
      </c>
      <c r="D468" s="1" t="s">
        <v>28</v>
      </c>
      <c r="E468" s="1">
        <v>94</v>
      </c>
      <c r="F468" s="1" t="s">
        <v>29</v>
      </c>
    </row>
    <row r="469" spans="1:6" x14ac:dyDescent="0.2">
      <c r="A469" s="1" t="s">
        <v>42</v>
      </c>
      <c r="B469" s="1">
        <v>0.25</v>
      </c>
      <c r="C469" s="1" t="s">
        <v>8</v>
      </c>
      <c r="D469" s="1" t="s">
        <v>28</v>
      </c>
      <c r="E469" s="1">
        <v>94</v>
      </c>
      <c r="F469" s="1" t="s">
        <v>29</v>
      </c>
    </row>
    <row r="470" spans="1:6" x14ac:dyDescent="0.2">
      <c r="A470" s="1" t="s">
        <v>42</v>
      </c>
      <c r="B470" s="1">
        <v>0.25</v>
      </c>
      <c r="C470" s="1" t="s">
        <v>6</v>
      </c>
      <c r="D470" s="1" t="s">
        <v>28</v>
      </c>
      <c r="E470" s="1">
        <v>0</v>
      </c>
      <c r="F470" s="1">
        <v>6.2E-2</v>
      </c>
    </row>
    <row r="471" spans="1:6" x14ac:dyDescent="0.2">
      <c r="A471" s="1" t="s">
        <v>42</v>
      </c>
      <c r="B471" s="1">
        <v>0.25</v>
      </c>
      <c r="C471" s="1" t="s">
        <v>7</v>
      </c>
      <c r="D471" s="1" t="s">
        <v>28</v>
      </c>
      <c r="E471" s="1">
        <v>0</v>
      </c>
      <c r="F471" s="1">
        <v>0.17299999999999999</v>
      </c>
    </row>
    <row r="472" spans="1:6" x14ac:dyDescent="0.2">
      <c r="A472" s="1" t="s">
        <v>42</v>
      </c>
      <c r="B472" s="1">
        <v>0.25</v>
      </c>
      <c r="C472" s="1" t="s">
        <v>8</v>
      </c>
      <c r="D472" s="1" t="s">
        <v>28</v>
      </c>
      <c r="E472" s="1">
        <v>0</v>
      </c>
      <c r="F472" s="1">
        <v>0.123</v>
      </c>
    </row>
    <row r="473" spans="1:6" x14ac:dyDescent="0.2">
      <c r="A473" s="1" t="s">
        <v>42</v>
      </c>
      <c r="B473" s="1">
        <v>0.5</v>
      </c>
      <c r="C473" s="1" t="s">
        <v>6</v>
      </c>
      <c r="D473" s="1" t="s">
        <v>28</v>
      </c>
      <c r="E473" s="1">
        <v>140</v>
      </c>
      <c r="F473" s="1" t="s">
        <v>29</v>
      </c>
    </row>
    <row r="474" spans="1:6" x14ac:dyDescent="0.2">
      <c r="A474" s="1" t="s">
        <v>42</v>
      </c>
      <c r="B474" s="1">
        <v>0.5</v>
      </c>
      <c r="C474" s="1" t="s">
        <v>7</v>
      </c>
      <c r="D474" s="1" t="s">
        <v>28</v>
      </c>
      <c r="E474" s="1">
        <v>140</v>
      </c>
      <c r="F474" s="1" t="s">
        <v>29</v>
      </c>
    </row>
    <row r="475" spans="1:6" x14ac:dyDescent="0.2">
      <c r="A475" s="1" t="s">
        <v>42</v>
      </c>
      <c r="B475" s="1">
        <v>0.5</v>
      </c>
      <c r="C475" s="1" t="s">
        <v>8</v>
      </c>
      <c r="D475" s="1" t="s">
        <v>28</v>
      </c>
      <c r="E475" s="1">
        <v>140</v>
      </c>
      <c r="F475" s="1" t="s">
        <v>29</v>
      </c>
    </row>
    <row r="476" spans="1:6" x14ac:dyDescent="0.2">
      <c r="A476" s="1" t="s">
        <v>42</v>
      </c>
      <c r="B476" s="1">
        <v>0.5</v>
      </c>
      <c r="C476" s="1" t="s">
        <v>6</v>
      </c>
      <c r="D476" s="1" t="s">
        <v>28</v>
      </c>
      <c r="E476" s="1">
        <v>94</v>
      </c>
      <c r="F476" s="1" t="s">
        <v>29</v>
      </c>
    </row>
    <row r="477" spans="1:6" x14ac:dyDescent="0.2">
      <c r="A477" s="1" t="s">
        <v>42</v>
      </c>
      <c r="B477" s="1">
        <v>0.5</v>
      </c>
      <c r="C477" s="1" t="s">
        <v>7</v>
      </c>
      <c r="D477" s="1" t="s">
        <v>28</v>
      </c>
      <c r="E477" s="1">
        <v>94</v>
      </c>
      <c r="F477" s="1" t="s">
        <v>29</v>
      </c>
    </row>
    <row r="478" spans="1:6" x14ac:dyDescent="0.2">
      <c r="A478" s="1" t="s">
        <v>42</v>
      </c>
      <c r="B478" s="1">
        <v>0.5</v>
      </c>
      <c r="C478" s="1" t="s">
        <v>8</v>
      </c>
      <c r="D478" s="1" t="s">
        <v>28</v>
      </c>
      <c r="E478" s="1">
        <v>94</v>
      </c>
      <c r="F478" s="1" t="s">
        <v>29</v>
      </c>
    </row>
    <row r="479" spans="1:6" x14ac:dyDescent="0.2">
      <c r="A479" s="1" t="s">
        <v>42</v>
      </c>
      <c r="B479" s="1">
        <v>0.5</v>
      </c>
      <c r="C479" s="1" t="s">
        <v>6</v>
      </c>
      <c r="D479" s="1" t="s">
        <v>28</v>
      </c>
      <c r="E479" s="1">
        <v>0</v>
      </c>
      <c r="F479" s="1">
        <v>0.183</v>
      </c>
    </row>
    <row r="480" spans="1:6" x14ac:dyDescent="0.2">
      <c r="A480" s="1" t="s">
        <v>42</v>
      </c>
      <c r="B480" s="1">
        <v>0.5</v>
      </c>
      <c r="C480" s="1" t="s">
        <v>7</v>
      </c>
      <c r="D480" s="1" t="s">
        <v>28</v>
      </c>
      <c r="E480" s="1">
        <v>0</v>
      </c>
      <c r="F480" s="1" t="s">
        <v>29</v>
      </c>
    </row>
    <row r="481" spans="1:6" x14ac:dyDescent="0.2">
      <c r="A481" s="1" t="s">
        <v>42</v>
      </c>
      <c r="B481" s="1">
        <v>0.5</v>
      </c>
      <c r="C481" s="1" t="s">
        <v>8</v>
      </c>
      <c r="D481" s="1" t="s">
        <v>28</v>
      </c>
      <c r="E481" s="1">
        <v>0</v>
      </c>
      <c r="F481" s="1">
        <v>3.7999999999999999E-2</v>
      </c>
    </row>
    <row r="482" spans="1:6" x14ac:dyDescent="0.2">
      <c r="A482" s="1" t="s">
        <v>42</v>
      </c>
      <c r="B482" s="1">
        <v>1</v>
      </c>
      <c r="C482" s="1" t="s">
        <v>6</v>
      </c>
      <c r="D482" s="1" t="s">
        <v>28</v>
      </c>
      <c r="E482" s="1">
        <v>140</v>
      </c>
      <c r="F482" s="1">
        <v>0.66300000000000003</v>
      </c>
    </row>
    <row r="483" spans="1:6" x14ac:dyDescent="0.2">
      <c r="A483" s="1" t="s">
        <v>42</v>
      </c>
      <c r="B483" s="1">
        <v>1</v>
      </c>
      <c r="C483" s="1" t="s">
        <v>7</v>
      </c>
      <c r="D483" s="1" t="s">
        <v>28</v>
      </c>
      <c r="E483" s="1">
        <v>140</v>
      </c>
      <c r="F483" s="1">
        <v>1.1579999999999999</v>
      </c>
    </row>
    <row r="484" spans="1:6" x14ac:dyDescent="0.2">
      <c r="A484" s="1" t="s">
        <v>42</v>
      </c>
      <c r="B484" s="1">
        <v>1</v>
      </c>
      <c r="C484" s="1" t="s">
        <v>8</v>
      </c>
      <c r="D484" s="1" t="s">
        <v>28</v>
      </c>
      <c r="E484" s="1">
        <v>140</v>
      </c>
      <c r="F484" s="1">
        <v>0.40810000000000002</v>
      </c>
    </row>
    <row r="485" spans="1:6" x14ac:dyDescent="0.2">
      <c r="A485" s="1" t="s">
        <v>42</v>
      </c>
      <c r="B485" s="1">
        <v>1</v>
      </c>
      <c r="C485" s="1" t="s">
        <v>6</v>
      </c>
      <c r="D485" s="1" t="s">
        <v>28</v>
      </c>
      <c r="E485" s="1">
        <v>94</v>
      </c>
      <c r="F485" s="1">
        <v>0.78700000000000003</v>
      </c>
    </row>
    <row r="486" spans="1:6" x14ac:dyDescent="0.2">
      <c r="A486" s="1" t="s">
        <v>42</v>
      </c>
      <c r="B486" s="1">
        <v>1</v>
      </c>
      <c r="C486" s="1" t="s">
        <v>7</v>
      </c>
      <c r="D486" s="1" t="s">
        <v>28</v>
      </c>
      <c r="E486" s="1">
        <v>94</v>
      </c>
      <c r="F486" s="1">
        <v>1.276</v>
      </c>
    </row>
    <row r="487" spans="1:6" x14ac:dyDescent="0.2">
      <c r="A487" s="1" t="s">
        <v>42</v>
      </c>
      <c r="B487" s="1">
        <v>1</v>
      </c>
      <c r="C487" s="1" t="s">
        <v>8</v>
      </c>
      <c r="D487" s="1" t="s">
        <v>28</v>
      </c>
      <c r="E487" s="1">
        <v>94</v>
      </c>
      <c r="F487" s="1">
        <v>0.754</v>
      </c>
    </row>
    <row r="488" spans="1:6" x14ac:dyDescent="0.2">
      <c r="A488" s="1" t="s">
        <v>42</v>
      </c>
      <c r="B488" s="1">
        <v>1</v>
      </c>
      <c r="C488" s="1" t="s">
        <v>6</v>
      </c>
      <c r="D488" s="1" t="s">
        <v>28</v>
      </c>
      <c r="E488" s="1">
        <v>0</v>
      </c>
      <c r="F488" s="1">
        <v>0.21099999999999999</v>
      </c>
    </row>
    <row r="489" spans="1:6" x14ac:dyDescent="0.2">
      <c r="A489" s="1" t="s">
        <v>42</v>
      </c>
      <c r="B489" s="1">
        <v>1</v>
      </c>
      <c r="C489" s="1" t="s">
        <v>7</v>
      </c>
      <c r="D489" s="1" t="s">
        <v>28</v>
      </c>
      <c r="E489" s="1">
        <v>0</v>
      </c>
      <c r="F489" s="1">
        <v>0.248</v>
      </c>
    </row>
    <row r="490" spans="1:6" x14ac:dyDescent="0.2">
      <c r="A490" s="1" t="s">
        <v>42</v>
      </c>
      <c r="B490" s="1">
        <v>1</v>
      </c>
      <c r="C490" s="1" t="s">
        <v>8</v>
      </c>
      <c r="D490" s="1" t="s">
        <v>28</v>
      </c>
      <c r="E490" s="1">
        <v>0</v>
      </c>
      <c r="F490" s="1" t="s">
        <v>29</v>
      </c>
    </row>
    <row r="491" spans="1:6" x14ac:dyDescent="0.2">
      <c r="A491" s="1" t="s">
        <v>42</v>
      </c>
      <c r="B491" s="1">
        <v>1.5</v>
      </c>
      <c r="C491" s="1" t="s">
        <v>6</v>
      </c>
      <c r="D491" s="1" t="s">
        <v>28</v>
      </c>
      <c r="E491" s="1">
        <v>140</v>
      </c>
      <c r="F491" s="1">
        <v>2.419</v>
      </c>
    </row>
    <row r="492" spans="1:6" x14ac:dyDescent="0.2">
      <c r="A492" s="1" t="s">
        <v>42</v>
      </c>
      <c r="B492" s="1">
        <v>1.5</v>
      </c>
      <c r="C492" s="1" t="s">
        <v>7</v>
      </c>
      <c r="D492" s="1" t="s">
        <v>28</v>
      </c>
      <c r="E492" s="1">
        <v>140</v>
      </c>
      <c r="F492" s="1">
        <v>0.70499999999999996</v>
      </c>
    </row>
    <row r="493" spans="1:6" x14ac:dyDescent="0.2">
      <c r="A493" s="1" t="s">
        <v>42</v>
      </c>
      <c r="B493" s="1">
        <v>1.5</v>
      </c>
      <c r="C493" s="1" t="s">
        <v>8</v>
      </c>
      <c r="D493" s="1" t="s">
        <v>28</v>
      </c>
      <c r="E493" s="1">
        <v>140</v>
      </c>
      <c r="F493" s="1">
        <v>3.0190000000000001</v>
      </c>
    </row>
    <row r="494" spans="1:6" x14ac:dyDescent="0.2">
      <c r="A494" s="1" t="s">
        <v>42</v>
      </c>
      <c r="B494" s="1">
        <v>1.5</v>
      </c>
      <c r="C494" s="1" t="s">
        <v>6</v>
      </c>
      <c r="D494" s="1" t="s">
        <v>28</v>
      </c>
      <c r="E494" s="1">
        <v>94</v>
      </c>
      <c r="F494" s="1">
        <v>2.0409999999999999</v>
      </c>
    </row>
    <row r="495" spans="1:6" x14ac:dyDescent="0.2">
      <c r="A495" s="1" t="s">
        <v>42</v>
      </c>
      <c r="B495" s="1">
        <v>1.5</v>
      </c>
      <c r="C495" s="1" t="s">
        <v>7</v>
      </c>
      <c r="D495" s="1" t="s">
        <v>28</v>
      </c>
      <c r="E495" s="1">
        <v>94</v>
      </c>
      <c r="F495" s="1">
        <v>0.69099999999999995</v>
      </c>
    </row>
    <row r="496" spans="1:6" x14ac:dyDescent="0.2">
      <c r="A496" s="1" t="s">
        <v>42</v>
      </c>
      <c r="B496" s="1">
        <v>1.5</v>
      </c>
      <c r="C496" s="1" t="s">
        <v>8</v>
      </c>
      <c r="D496" s="1" t="s">
        <v>28</v>
      </c>
      <c r="E496" s="1">
        <v>94</v>
      </c>
      <c r="F496" s="1">
        <v>3.0369999999999999</v>
      </c>
    </row>
    <row r="497" spans="1:6" x14ac:dyDescent="0.2">
      <c r="A497" s="1" t="s">
        <v>42</v>
      </c>
      <c r="B497" s="1">
        <v>1.5</v>
      </c>
      <c r="C497" s="1" t="s">
        <v>6</v>
      </c>
      <c r="D497" s="1" t="s">
        <v>28</v>
      </c>
      <c r="E497" s="1">
        <v>0</v>
      </c>
      <c r="F497" s="1" t="s">
        <v>29</v>
      </c>
    </row>
    <row r="498" spans="1:6" x14ac:dyDescent="0.2">
      <c r="A498" s="1" t="s">
        <v>42</v>
      </c>
      <c r="B498" s="1">
        <v>1.5</v>
      </c>
      <c r="C498" s="1" t="s">
        <v>7</v>
      </c>
      <c r="D498" s="1" t="s">
        <v>28</v>
      </c>
      <c r="E498" s="1">
        <v>0</v>
      </c>
      <c r="F498" s="1">
        <v>5.355E-2</v>
      </c>
    </row>
    <row r="499" spans="1:6" x14ac:dyDescent="0.2">
      <c r="A499" s="1" t="s">
        <v>42</v>
      </c>
      <c r="B499" s="1">
        <v>1.5</v>
      </c>
      <c r="C499" s="1" t="s">
        <v>8</v>
      </c>
      <c r="D499" s="1" t="s">
        <v>28</v>
      </c>
      <c r="E499" s="1">
        <v>0</v>
      </c>
      <c r="F499" s="1">
        <v>0.32619999999999999</v>
      </c>
    </row>
    <row r="500" spans="1:6" x14ac:dyDescent="0.2">
      <c r="A500" s="1" t="s">
        <v>42</v>
      </c>
      <c r="B500" s="1">
        <v>0</v>
      </c>
      <c r="C500" s="1" t="s">
        <v>6</v>
      </c>
      <c r="D500" s="1" t="s">
        <v>28</v>
      </c>
      <c r="E500" s="1">
        <v>140</v>
      </c>
      <c r="F500" s="1" t="s">
        <v>29</v>
      </c>
    </row>
    <row r="501" spans="1:6" x14ac:dyDescent="0.2">
      <c r="A501" s="1" t="s">
        <v>42</v>
      </c>
      <c r="B501" s="1">
        <v>0</v>
      </c>
      <c r="C501" s="1" t="s">
        <v>7</v>
      </c>
      <c r="D501" s="1" t="s">
        <v>28</v>
      </c>
      <c r="E501" s="1">
        <v>140</v>
      </c>
      <c r="F501" s="1" t="s">
        <v>29</v>
      </c>
    </row>
    <row r="502" spans="1:6" x14ac:dyDescent="0.2">
      <c r="A502" s="1" t="s">
        <v>42</v>
      </c>
      <c r="B502" s="1">
        <v>0</v>
      </c>
      <c r="C502" s="1" t="s">
        <v>8</v>
      </c>
      <c r="D502" s="1" t="s">
        <v>28</v>
      </c>
      <c r="E502" s="1">
        <v>140</v>
      </c>
      <c r="F502" s="1" t="s">
        <v>29</v>
      </c>
    </row>
    <row r="503" spans="1:6" x14ac:dyDescent="0.2">
      <c r="A503" s="1" t="s">
        <v>42</v>
      </c>
      <c r="B503" s="1">
        <v>0</v>
      </c>
      <c r="C503" s="1" t="s">
        <v>6</v>
      </c>
      <c r="D503" s="1" t="s">
        <v>28</v>
      </c>
      <c r="E503" s="1">
        <v>0</v>
      </c>
      <c r="F503" s="1" t="s">
        <v>29</v>
      </c>
    </row>
    <row r="504" spans="1:6" x14ac:dyDescent="0.2">
      <c r="A504" s="1" t="s">
        <v>42</v>
      </c>
      <c r="B504" s="1">
        <v>0</v>
      </c>
      <c r="C504" s="1" t="s">
        <v>7</v>
      </c>
      <c r="D504" s="1" t="s">
        <v>28</v>
      </c>
      <c r="E504" s="1">
        <v>0</v>
      </c>
      <c r="F504" s="1" t="s">
        <v>29</v>
      </c>
    </row>
    <row r="505" spans="1:6" x14ac:dyDescent="0.2">
      <c r="A505" s="1" t="s">
        <v>42</v>
      </c>
      <c r="B505" s="1">
        <v>0</v>
      </c>
      <c r="C505" s="1" t="s">
        <v>8</v>
      </c>
      <c r="D505" s="1" t="s">
        <v>28</v>
      </c>
      <c r="E505" s="1">
        <v>0</v>
      </c>
      <c r="F505" s="1" t="s">
        <v>29</v>
      </c>
    </row>
    <row r="506" spans="1:6" x14ac:dyDescent="0.2">
      <c r="A506" s="11" t="s">
        <v>42</v>
      </c>
      <c r="B506">
        <v>0.25</v>
      </c>
      <c r="C506" s="9" t="s">
        <v>6</v>
      </c>
      <c r="D506" s="1" t="s">
        <v>30</v>
      </c>
      <c r="E506" s="9">
        <v>0</v>
      </c>
      <c r="F506" s="9">
        <v>0.23599999999999999</v>
      </c>
    </row>
    <row r="507" spans="1:6" x14ac:dyDescent="0.2">
      <c r="A507" s="11" t="s">
        <v>42</v>
      </c>
      <c r="B507">
        <v>0.25</v>
      </c>
      <c r="C507" s="9" t="s">
        <v>7</v>
      </c>
      <c r="D507" s="1" t="s">
        <v>30</v>
      </c>
      <c r="E507" s="9">
        <v>0</v>
      </c>
      <c r="F507" s="9">
        <v>0.25700000000000001</v>
      </c>
    </row>
    <row r="508" spans="1:6" x14ac:dyDescent="0.2">
      <c r="A508" s="11" t="s">
        <v>42</v>
      </c>
      <c r="B508">
        <v>0.25</v>
      </c>
      <c r="C508" s="9" t="s">
        <v>8</v>
      </c>
      <c r="D508" s="1" t="s">
        <v>30</v>
      </c>
      <c r="E508" s="9">
        <v>0</v>
      </c>
      <c r="F508" s="9">
        <v>0</v>
      </c>
    </row>
    <row r="509" spans="1:6" x14ac:dyDescent="0.2">
      <c r="A509" s="11" t="s">
        <v>42</v>
      </c>
      <c r="B509">
        <v>0.25</v>
      </c>
      <c r="C509" s="9" t="s">
        <v>6</v>
      </c>
      <c r="D509" s="1" t="s">
        <v>30</v>
      </c>
      <c r="E509" s="9">
        <v>94</v>
      </c>
      <c r="F509" s="9">
        <v>27.012</v>
      </c>
    </row>
    <row r="510" spans="1:6" x14ac:dyDescent="0.2">
      <c r="A510" s="11" t="s">
        <v>42</v>
      </c>
      <c r="B510">
        <v>0.25</v>
      </c>
      <c r="C510" s="9" t="s">
        <v>7</v>
      </c>
      <c r="D510" s="1" t="s">
        <v>30</v>
      </c>
      <c r="E510" s="9">
        <v>94</v>
      </c>
      <c r="F510" s="9">
        <v>29.509</v>
      </c>
    </row>
    <row r="511" spans="1:6" x14ac:dyDescent="0.2">
      <c r="A511" s="11" t="s">
        <v>42</v>
      </c>
      <c r="B511">
        <v>0.25</v>
      </c>
      <c r="C511" s="9" t="s">
        <v>8</v>
      </c>
      <c r="D511" s="1" t="s">
        <v>30</v>
      </c>
      <c r="E511" s="9">
        <v>94</v>
      </c>
      <c r="F511" s="9">
        <v>27.387</v>
      </c>
    </row>
    <row r="512" spans="1:6" x14ac:dyDescent="0.2">
      <c r="A512" s="11" t="s">
        <v>42</v>
      </c>
      <c r="B512">
        <v>0.25</v>
      </c>
      <c r="C512" s="9" t="s">
        <v>6</v>
      </c>
      <c r="D512" s="1" t="s">
        <v>30</v>
      </c>
      <c r="E512" s="9">
        <v>140</v>
      </c>
      <c r="F512" s="9">
        <v>26.411999999999999</v>
      </c>
    </row>
    <row r="513" spans="1:6" x14ac:dyDescent="0.2">
      <c r="A513" s="11" t="s">
        <v>42</v>
      </c>
      <c r="B513">
        <v>0.25</v>
      </c>
      <c r="C513" s="9" t="s">
        <v>7</v>
      </c>
      <c r="D513" s="1" t="s">
        <v>30</v>
      </c>
      <c r="E513" s="9">
        <v>140</v>
      </c>
      <c r="F513" s="9">
        <v>25.535</v>
      </c>
    </row>
    <row r="514" spans="1:6" x14ac:dyDescent="0.2">
      <c r="A514" s="11" t="s">
        <v>42</v>
      </c>
      <c r="B514">
        <v>0.25</v>
      </c>
      <c r="C514" s="9" t="s">
        <v>8</v>
      </c>
      <c r="D514" s="1" t="s">
        <v>30</v>
      </c>
      <c r="E514" s="9">
        <v>140</v>
      </c>
      <c r="F514" s="9">
        <v>30.091000000000001</v>
      </c>
    </row>
    <row r="515" spans="1:6" x14ac:dyDescent="0.2">
      <c r="A515" s="11" t="s">
        <v>42</v>
      </c>
      <c r="B515">
        <v>0.5</v>
      </c>
      <c r="C515" s="9" t="s">
        <v>6</v>
      </c>
      <c r="D515" s="1" t="s">
        <v>30</v>
      </c>
      <c r="E515" s="9">
        <v>0</v>
      </c>
      <c r="F515" s="9">
        <v>0.379</v>
      </c>
    </row>
    <row r="516" spans="1:6" x14ac:dyDescent="0.2">
      <c r="A516" s="11" t="s">
        <v>42</v>
      </c>
      <c r="B516">
        <v>0.5</v>
      </c>
      <c r="C516" s="9" t="s">
        <v>7</v>
      </c>
      <c r="D516" s="1" t="s">
        <v>30</v>
      </c>
      <c r="E516" s="9">
        <v>0</v>
      </c>
      <c r="F516" s="9">
        <v>0.20200000000000001</v>
      </c>
    </row>
    <row r="517" spans="1:6" x14ac:dyDescent="0.2">
      <c r="A517" s="11" t="s">
        <v>42</v>
      </c>
      <c r="B517">
        <v>0.5</v>
      </c>
      <c r="C517" s="9" t="s">
        <v>8</v>
      </c>
      <c r="D517" s="1" t="s">
        <v>30</v>
      </c>
      <c r="E517" s="9">
        <v>0</v>
      </c>
      <c r="F517" s="9">
        <v>0.24099999999999999</v>
      </c>
    </row>
    <row r="518" spans="1:6" x14ac:dyDescent="0.2">
      <c r="A518" s="11" t="s">
        <v>42</v>
      </c>
      <c r="B518">
        <v>0.5</v>
      </c>
      <c r="C518" s="9" t="s">
        <v>6</v>
      </c>
      <c r="D518" s="1" t="s">
        <v>30</v>
      </c>
      <c r="E518" s="9">
        <v>94</v>
      </c>
      <c r="F518" s="9">
        <v>48.475999999999999</v>
      </c>
    </row>
    <row r="519" spans="1:6" x14ac:dyDescent="0.2">
      <c r="A519" s="11" t="s">
        <v>42</v>
      </c>
      <c r="B519">
        <v>0.5</v>
      </c>
      <c r="C519" s="9" t="s">
        <v>7</v>
      </c>
      <c r="D519" s="1" t="s">
        <v>30</v>
      </c>
      <c r="E519" s="9">
        <v>94</v>
      </c>
      <c r="F519" s="9">
        <v>52.389000000000003</v>
      </c>
    </row>
    <row r="520" spans="1:6" x14ac:dyDescent="0.2">
      <c r="A520" s="11" t="s">
        <v>42</v>
      </c>
      <c r="B520">
        <v>0.5</v>
      </c>
      <c r="C520" s="9" t="s">
        <v>8</v>
      </c>
      <c r="D520" s="1" t="s">
        <v>30</v>
      </c>
      <c r="E520" s="9">
        <v>94</v>
      </c>
      <c r="F520" s="9">
        <v>46.33</v>
      </c>
    </row>
    <row r="521" spans="1:6" x14ac:dyDescent="0.2">
      <c r="A521" s="11" t="s">
        <v>42</v>
      </c>
      <c r="B521">
        <v>0.5</v>
      </c>
      <c r="C521" s="9" t="s">
        <v>6</v>
      </c>
      <c r="D521" s="1" t="s">
        <v>30</v>
      </c>
      <c r="E521" s="9">
        <v>140</v>
      </c>
      <c r="F521" s="9">
        <v>47.942999999999998</v>
      </c>
    </row>
    <row r="522" spans="1:6" x14ac:dyDescent="0.2">
      <c r="A522" s="11" t="s">
        <v>42</v>
      </c>
      <c r="B522">
        <v>0.5</v>
      </c>
      <c r="C522" s="9" t="s">
        <v>7</v>
      </c>
      <c r="D522" s="1" t="s">
        <v>30</v>
      </c>
      <c r="E522" s="9">
        <v>140</v>
      </c>
      <c r="F522" s="9">
        <v>36.276000000000003</v>
      </c>
    </row>
    <row r="523" spans="1:6" x14ac:dyDescent="0.2">
      <c r="A523" s="11" t="s">
        <v>42</v>
      </c>
      <c r="B523">
        <v>0.5</v>
      </c>
      <c r="C523" s="9" t="s">
        <v>8</v>
      </c>
      <c r="D523" s="1" t="s">
        <v>30</v>
      </c>
      <c r="E523" s="9">
        <v>140</v>
      </c>
      <c r="F523" s="9">
        <v>52.499000000000002</v>
      </c>
    </row>
    <row r="524" spans="1:6" x14ac:dyDescent="0.2">
      <c r="A524" s="11" t="s">
        <v>42</v>
      </c>
      <c r="B524">
        <v>1</v>
      </c>
      <c r="C524" s="9" t="s">
        <v>6</v>
      </c>
      <c r="D524" s="1" t="s">
        <v>30</v>
      </c>
      <c r="E524" s="9">
        <v>0</v>
      </c>
      <c r="F524" s="9">
        <v>0</v>
      </c>
    </row>
    <row r="525" spans="1:6" x14ac:dyDescent="0.2">
      <c r="A525" s="11" t="s">
        <v>42</v>
      </c>
      <c r="B525">
        <v>1</v>
      </c>
      <c r="C525" s="9" t="s">
        <v>7</v>
      </c>
      <c r="D525" s="1" t="s">
        <v>30</v>
      </c>
      <c r="E525" s="9">
        <v>0</v>
      </c>
      <c r="F525" s="9">
        <v>0.253</v>
      </c>
    </row>
    <row r="526" spans="1:6" x14ac:dyDescent="0.2">
      <c r="A526" s="11" t="s">
        <v>42</v>
      </c>
      <c r="B526">
        <v>1</v>
      </c>
      <c r="C526" s="9" t="s">
        <v>8</v>
      </c>
      <c r="D526" s="1" t="s">
        <v>30</v>
      </c>
      <c r="E526" s="9">
        <v>0</v>
      </c>
      <c r="F526" s="9">
        <v>0</v>
      </c>
    </row>
    <row r="527" spans="1:6" x14ac:dyDescent="0.2">
      <c r="A527" s="11" t="s">
        <v>42</v>
      </c>
      <c r="B527">
        <v>1</v>
      </c>
      <c r="C527" s="9" t="s">
        <v>6</v>
      </c>
      <c r="D527" s="1" t="s">
        <v>30</v>
      </c>
      <c r="E527" s="9">
        <v>94</v>
      </c>
      <c r="F527" s="9">
        <v>65.866</v>
      </c>
    </row>
    <row r="528" spans="1:6" x14ac:dyDescent="0.2">
      <c r="A528" s="11" t="s">
        <v>42</v>
      </c>
      <c r="B528">
        <v>1</v>
      </c>
      <c r="C528" s="9" t="s">
        <v>7</v>
      </c>
      <c r="D528" s="1" t="s">
        <v>30</v>
      </c>
      <c r="E528" s="9">
        <v>94</v>
      </c>
      <c r="F528" s="9">
        <v>68.876999999999995</v>
      </c>
    </row>
    <row r="529" spans="1:6" x14ac:dyDescent="0.2">
      <c r="A529" s="11" t="s">
        <v>42</v>
      </c>
      <c r="B529">
        <v>1</v>
      </c>
      <c r="C529" s="9" t="s">
        <v>8</v>
      </c>
      <c r="D529" s="1" t="s">
        <v>30</v>
      </c>
      <c r="E529" s="9">
        <v>94</v>
      </c>
      <c r="F529" s="9">
        <v>70.683000000000007</v>
      </c>
    </row>
    <row r="530" spans="1:6" x14ac:dyDescent="0.2">
      <c r="A530" s="11" t="s">
        <v>42</v>
      </c>
      <c r="B530">
        <v>1</v>
      </c>
      <c r="C530" s="9" t="s">
        <v>6</v>
      </c>
      <c r="D530" s="1" t="s">
        <v>30</v>
      </c>
      <c r="E530" s="9">
        <v>140</v>
      </c>
      <c r="F530" s="9">
        <v>63.420999999999999</v>
      </c>
    </row>
    <row r="531" spans="1:6" x14ac:dyDescent="0.2">
      <c r="A531" s="11" t="s">
        <v>42</v>
      </c>
      <c r="B531">
        <v>1</v>
      </c>
      <c r="C531" s="9" t="s">
        <v>7</v>
      </c>
      <c r="D531" s="1" t="s">
        <v>30</v>
      </c>
      <c r="E531" s="9">
        <v>140</v>
      </c>
      <c r="F531" s="9">
        <v>67.459000000000003</v>
      </c>
    </row>
    <row r="532" spans="1:6" x14ac:dyDescent="0.2">
      <c r="A532" s="11" t="s">
        <v>42</v>
      </c>
      <c r="B532">
        <v>1</v>
      </c>
      <c r="C532" s="9" t="s">
        <v>8</v>
      </c>
      <c r="D532" s="1" t="s">
        <v>30</v>
      </c>
      <c r="E532" s="9">
        <v>140</v>
      </c>
      <c r="F532" s="9">
        <v>79.555999999999997</v>
      </c>
    </row>
    <row r="533" spans="1:6" x14ac:dyDescent="0.2">
      <c r="A533" s="11" t="s">
        <v>42</v>
      </c>
      <c r="B533">
        <v>1.5</v>
      </c>
      <c r="C533" s="9" t="s">
        <v>6</v>
      </c>
      <c r="D533" s="1" t="s">
        <v>30</v>
      </c>
      <c r="E533" s="9">
        <v>0</v>
      </c>
      <c r="F533" s="9">
        <v>0.86199999999999999</v>
      </c>
    </row>
    <row r="534" spans="1:6" x14ac:dyDescent="0.2">
      <c r="A534" s="11" t="s">
        <v>42</v>
      </c>
      <c r="B534">
        <v>1.5</v>
      </c>
      <c r="C534" s="9" t="s">
        <v>7</v>
      </c>
      <c r="D534" s="1" t="s">
        <v>30</v>
      </c>
      <c r="E534" s="9">
        <v>0</v>
      </c>
      <c r="F534" s="9">
        <v>0.47899999999999998</v>
      </c>
    </row>
    <row r="535" spans="1:6" x14ac:dyDescent="0.2">
      <c r="A535" s="11" t="s">
        <v>42</v>
      </c>
      <c r="B535">
        <v>1.5</v>
      </c>
      <c r="C535" s="9" t="s">
        <v>8</v>
      </c>
      <c r="D535" s="1" t="s">
        <v>30</v>
      </c>
      <c r="E535" s="9">
        <v>0</v>
      </c>
      <c r="F535" s="9">
        <v>0.35099999999999998</v>
      </c>
    </row>
    <row r="536" spans="1:6" x14ac:dyDescent="0.2">
      <c r="A536" s="11" t="s">
        <v>42</v>
      </c>
      <c r="B536">
        <v>1.5</v>
      </c>
      <c r="C536" s="9" t="s">
        <v>6</v>
      </c>
      <c r="D536" s="1" t="s">
        <v>30</v>
      </c>
      <c r="E536" s="9">
        <v>94</v>
      </c>
      <c r="F536" s="9">
        <v>72.349000000000004</v>
      </c>
    </row>
    <row r="537" spans="1:6" x14ac:dyDescent="0.2">
      <c r="A537" s="11" t="s">
        <v>42</v>
      </c>
      <c r="B537">
        <v>1.5</v>
      </c>
      <c r="C537" s="9" t="s">
        <v>7</v>
      </c>
      <c r="D537" s="1" t="s">
        <v>30</v>
      </c>
      <c r="E537" s="9">
        <v>94</v>
      </c>
      <c r="F537" s="9">
        <v>76.180999999999997</v>
      </c>
    </row>
    <row r="538" spans="1:6" x14ac:dyDescent="0.2">
      <c r="A538" s="11" t="s">
        <v>42</v>
      </c>
      <c r="B538">
        <v>1.5</v>
      </c>
      <c r="C538" s="9" t="s">
        <v>8</v>
      </c>
      <c r="D538" s="1" t="s">
        <v>30</v>
      </c>
      <c r="E538" s="9">
        <v>94</v>
      </c>
      <c r="F538" s="9">
        <v>79.171999999999997</v>
      </c>
    </row>
    <row r="539" spans="1:6" x14ac:dyDescent="0.2">
      <c r="A539" s="11" t="s">
        <v>42</v>
      </c>
      <c r="B539">
        <v>1.5</v>
      </c>
      <c r="C539" s="9" t="s">
        <v>6</v>
      </c>
      <c r="D539" s="1" t="s">
        <v>30</v>
      </c>
      <c r="E539" s="9">
        <v>140</v>
      </c>
      <c r="F539" s="9">
        <v>73.486999999999995</v>
      </c>
    </row>
    <row r="540" spans="1:6" x14ac:dyDescent="0.2">
      <c r="A540" s="11" t="s">
        <v>42</v>
      </c>
      <c r="B540">
        <v>1.5</v>
      </c>
      <c r="C540" s="9" t="s">
        <v>7</v>
      </c>
      <c r="D540" s="1" t="s">
        <v>30</v>
      </c>
      <c r="E540" s="9">
        <v>140</v>
      </c>
      <c r="F540" s="9">
        <v>70.143000000000001</v>
      </c>
    </row>
    <row r="541" spans="1:6" x14ac:dyDescent="0.2">
      <c r="A541" s="11" t="s">
        <v>42</v>
      </c>
      <c r="B541">
        <v>1.5</v>
      </c>
      <c r="C541" s="9" t="s">
        <v>8</v>
      </c>
      <c r="D541" s="1" t="s">
        <v>30</v>
      </c>
      <c r="E541" s="9">
        <v>140</v>
      </c>
      <c r="F541" s="9">
        <v>72.991</v>
      </c>
    </row>
    <row r="542" spans="1:6" x14ac:dyDescent="0.2">
      <c r="A542" s="11" t="s">
        <v>42</v>
      </c>
      <c r="B542">
        <v>0</v>
      </c>
      <c r="C542" s="9" t="s">
        <v>6</v>
      </c>
      <c r="D542" s="1" t="s">
        <v>30</v>
      </c>
      <c r="E542" s="9">
        <v>0</v>
      </c>
      <c r="F542" s="9">
        <v>1.131</v>
      </c>
    </row>
    <row r="543" spans="1:6" x14ac:dyDescent="0.2">
      <c r="A543" s="11" t="s">
        <v>42</v>
      </c>
      <c r="B543">
        <v>0</v>
      </c>
      <c r="C543" s="9" t="s">
        <v>7</v>
      </c>
      <c r="D543" s="1" t="s">
        <v>30</v>
      </c>
      <c r="E543" s="9">
        <v>0</v>
      </c>
      <c r="F543" s="9">
        <v>0</v>
      </c>
    </row>
    <row r="544" spans="1:6" x14ac:dyDescent="0.2">
      <c r="A544" s="11" t="s">
        <v>42</v>
      </c>
      <c r="B544">
        <v>0</v>
      </c>
      <c r="C544" s="9" t="s">
        <v>8</v>
      </c>
      <c r="D544" s="1" t="s">
        <v>30</v>
      </c>
      <c r="E544" s="9">
        <v>0</v>
      </c>
      <c r="F544" s="9">
        <v>0.46600000000000003</v>
      </c>
    </row>
    <row r="545" spans="1:6" x14ac:dyDescent="0.2">
      <c r="A545" s="11" t="s">
        <v>42</v>
      </c>
      <c r="B545">
        <v>0</v>
      </c>
      <c r="C545" s="9" t="s">
        <v>6</v>
      </c>
      <c r="D545" s="1" t="s">
        <v>30</v>
      </c>
      <c r="E545" s="9">
        <v>94</v>
      </c>
      <c r="F545" s="9">
        <v>0.26800000000000002</v>
      </c>
    </row>
    <row r="546" spans="1:6" x14ac:dyDescent="0.2">
      <c r="A546" s="11" t="s">
        <v>42</v>
      </c>
      <c r="B546">
        <v>0</v>
      </c>
      <c r="C546" s="9" t="s">
        <v>7</v>
      </c>
      <c r="D546" s="1" t="s">
        <v>30</v>
      </c>
      <c r="E546" s="9">
        <v>94</v>
      </c>
      <c r="F546" s="9">
        <v>3.5920000000000001</v>
      </c>
    </row>
    <row r="547" spans="1:6" x14ac:dyDescent="0.2">
      <c r="A547" s="11" t="s">
        <v>42</v>
      </c>
      <c r="B547">
        <v>0</v>
      </c>
      <c r="C547" s="9" t="s">
        <v>8</v>
      </c>
      <c r="D547" s="1" t="s">
        <v>30</v>
      </c>
      <c r="E547" s="9">
        <v>94</v>
      </c>
      <c r="F547" s="9">
        <v>3.0579999999999998</v>
      </c>
    </row>
    <row r="548" spans="1:6" x14ac:dyDescent="0.2">
      <c r="A548" s="11" t="s">
        <v>42</v>
      </c>
      <c r="B548">
        <v>0</v>
      </c>
      <c r="C548" s="9" t="s">
        <v>6</v>
      </c>
      <c r="D548" s="1" t="s">
        <v>30</v>
      </c>
      <c r="E548" s="9">
        <v>140</v>
      </c>
      <c r="F548" s="9">
        <v>3.9929999999999999</v>
      </c>
    </row>
    <row r="549" spans="1:6" x14ac:dyDescent="0.2">
      <c r="A549" s="11" t="s">
        <v>42</v>
      </c>
      <c r="B549">
        <v>0</v>
      </c>
      <c r="C549" s="9" t="s">
        <v>7</v>
      </c>
      <c r="D549" s="1" t="s">
        <v>30</v>
      </c>
      <c r="E549" s="9">
        <v>140</v>
      </c>
      <c r="F549" s="9">
        <v>3.4990000000000001</v>
      </c>
    </row>
    <row r="550" spans="1:6" x14ac:dyDescent="0.2">
      <c r="A550" s="11" t="s">
        <v>42</v>
      </c>
      <c r="B550">
        <v>0</v>
      </c>
      <c r="C550" s="9" t="s">
        <v>8</v>
      </c>
      <c r="D550" s="1" t="s">
        <v>30</v>
      </c>
      <c r="E550" s="9">
        <v>140</v>
      </c>
      <c r="F550" s="9">
        <v>4.0350000000000001</v>
      </c>
    </row>
    <row r="551" spans="1:6" x14ac:dyDescent="0.2">
      <c r="A551" s="11" t="s">
        <v>42</v>
      </c>
      <c r="B551">
        <v>0.25</v>
      </c>
      <c r="C551" s="9" t="s">
        <v>6</v>
      </c>
      <c r="D551" s="9" t="s">
        <v>12</v>
      </c>
      <c r="E551" s="9">
        <v>0</v>
      </c>
      <c r="F551" s="9" t="s">
        <v>29</v>
      </c>
    </row>
    <row r="552" spans="1:6" x14ac:dyDescent="0.2">
      <c r="A552" s="11" t="s">
        <v>42</v>
      </c>
      <c r="B552">
        <v>0.25</v>
      </c>
      <c r="C552" s="9" t="s">
        <v>7</v>
      </c>
      <c r="D552" s="9" t="s">
        <v>12</v>
      </c>
      <c r="E552" s="9">
        <v>0</v>
      </c>
      <c r="F552" s="9" t="s">
        <v>29</v>
      </c>
    </row>
    <row r="553" spans="1:6" x14ac:dyDescent="0.2">
      <c r="A553" s="11" t="s">
        <v>42</v>
      </c>
      <c r="B553">
        <v>0.25</v>
      </c>
      <c r="C553" s="9" t="s">
        <v>8</v>
      </c>
      <c r="D553" s="9" t="s">
        <v>12</v>
      </c>
      <c r="E553" s="9">
        <v>0</v>
      </c>
      <c r="F553" s="9" t="s">
        <v>29</v>
      </c>
    </row>
    <row r="554" spans="1:6" x14ac:dyDescent="0.2">
      <c r="A554" s="11" t="s">
        <v>42</v>
      </c>
      <c r="B554">
        <v>0.25</v>
      </c>
      <c r="C554" s="9" t="s">
        <v>6</v>
      </c>
      <c r="D554" s="9" t="s">
        <v>12</v>
      </c>
      <c r="E554" s="9">
        <v>94</v>
      </c>
      <c r="F554" s="9" t="s">
        <v>29</v>
      </c>
    </row>
    <row r="555" spans="1:6" x14ac:dyDescent="0.2">
      <c r="A555" s="11" t="s">
        <v>42</v>
      </c>
      <c r="B555">
        <v>0.25</v>
      </c>
      <c r="C555" s="9" t="s">
        <v>7</v>
      </c>
      <c r="D555" s="9" t="s">
        <v>12</v>
      </c>
      <c r="E555" s="9">
        <v>94</v>
      </c>
      <c r="F555" s="9" t="s">
        <v>29</v>
      </c>
    </row>
    <row r="556" spans="1:6" x14ac:dyDescent="0.2">
      <c r="A556" s="11" t="s">
        <v>42</v>
      </c>
      <c r="B556">
        <v>0.25</v>
      </c>
      <c r="C556" s="9" t="s">
        <v>8</v>
      </c>
      <c r="D556" s="9" t="s">
        <v>12</v>
      </c>
      <c r="E556" s="9">
        <v>94</v>
      </c>
      <c r="F556" s="9" t="s">
        <v>29</v>
      </c>
    </row>
    <row r="557" spans="1:6" x14ac:dyDescent="0.2">
      <c r="A557" s="11" t="s">
        <v>42</v>
      </c>
      <c r="B557">
        <v>0.25</v>
      </c>
      <c r="C557" s="9" t="s">
        <v>6</v>
      </c>
      <c r="D557" s="9" t="s">
        <v>12</v>
      </c>
      <c r="E557" s="9">
        <v>140</v>
      </c>
      <c r="F557" s="9" t="s">
        <v>29</v>
      </c>
    </row>
    <row r="558" spans="1:6" x14ac:dyDescent="0.2">
      <c r="A558" s="11" t="s">
        <v>42</v>
      </c>
      <c r="B558">
        <v>0.25</v>
      </c>
      <c r="C558" s="9" t="s">
        <v>7</v>
      </c>
      <c r="D558" s="9" t="s">
        <v>12</v>
      </c>
      <c r="E558" s="9">
        <v>140</v>
      </c>
      <c r="F558" s="9" t="s">
        <v>29</v>
      </c>
    </row>
    <row r="559" spans="1:6" x14ac:dyDescent="0.2">
      <c r="A559" s="11" t="s">
        <v>42</v>
      </c>
      <c r="B559">
        <v>0.25</v>
      </c>
      <c r="C559" s="9" t="s">
        <v>8</v>
      </c>
      <c r="D559" s="9" t="s">
        <v>12</v>
      </c>
      <c r="E559" s="9">
        <v>140</v>
      </c>
      <c r="F559" s="9">
        <v>1.2E-2</v>
      </c>
    </row>
    <row r="560" spans="1:6" x14ac:dyDescent="0.2">
      <c r="A560" s="11" t="s">
        <v>42</v>
      </c>
      <c r="B560">
        <v>0.5</v>
      </c>
      <c r="C560" s="9" t="s">
        <v>6</v>
      </c>
      <c r="D560" s="9" t="s">
        <v>12</v>
      </c>
      <c r="E560" s="9">
        <v>0</v>
      </c>
      <c r="F560" s="9" t="s">
        <v>29</v>
      </c>
    </row>
    <row r="561" spans="1:6" x14ac:dyDescent="0.2">
      <c r="A561" s="11" t="s">
        <v>42</v>
      </c>
      <c r="B561">
        <v>0.5</v>
      </c>
      <c r="C561" s="9" t="s">
        <v>7</v>
      </c>
      <c r="D561" s="9" t="s">
        <v>12</v>
      </c>
      <c r="E561" s="9">
        <v>0</v>
      </c>
      <c r="F561" s="9" t="s">
        <v>29</v>
      </c>
    </row>
    <row r="562" spans="1:6" x14ac:dyDescent="0.2">
      <c r="A562" s="11" t="s">
        <v>42</v>
      </c>
      <c r="B562">
        <v>0.5</v>
      </c>
      <c r="C562" s="9" t="s">
        <v>8</v>
      </c>
      <c r="D562" s="9" t="s">
        <v>12</v>
      </c>
      <c r="E562" s="9">
        <v>0</v>
      </c>
      <c r="F562" s="9" t="s">
        <v>29</v>
      </c>
    </row>
    <row r="563" spans="1:6" x14ac:dyDescent="0.2">
      <c r="A563" s="11" t="s">
        <v>42</v>
      </c>
      <c r="B563">
        <v>0.5</v>
      </c>
      <c r="C563" s="9" t="s">
        <v>6</v>
      </c>
      <c r="D563" s="9" t="s">
        <v>12</v>
      </c>
      <c r="E563" s="9">
        <v>94</v>
      </c>
      <c r="F563" s="9" t="s">
        <v>29</v>
      </c>
    </row>
    <row r="564" spans="1:6" x14ac:dyDescent="0.2">
      <c r="A564" s="11" t="s">
        <v>42</v>
      </c>
      <c r="B564">
        <v>0.5</v>
      </c>
      <c r="C564" s="9" t="s">
        <v>7</v>
      </c>
      <c r="D564" s="9" t="s">
        <v>12</v>
      </c>
      <c r="E564" s="9">
        <v>94</v>
      </c>
      <c r="F564" s="9" t="s">
        <v>29</v>
      </c>
    </row>
    <row r="565" spans="1:6" x14ac:dyDescent="0.2">
      <c r="A565" s="11" t="s">
        <v>42</v>
      </c>
      <c r="B565">
        <v>0.5</v>
      </c>
      <c r="C565" s="9" t="s">
        <v>8</v>
      </c>
      <c r="D565" s="9" t="s">
        <v>12</v>
      </c>
      <c r="E565" s="9">
        <v>94</v>
      </c>
      <c r="F565" s="9" t="s">
        <v>29</v>
      </c>
    </row>
    <row r="566" spans="1:6" x14ac:dyDescent="0.2">
      <c r="A566" s="11" t="s">
        <v>42</v>
      </c>
      <c r="B566">
        <v>0.5</v>
      </c>
      <c r="C566" s="9" t="s">
        <v>6</v>
      </c>
      <c r="D566" s="9" t="s">
        <v>12</v>
      </c>
      <c r="E566" s="9">
        <v>140</v>
      </c>
      <c r="F566" s="9" t="s">
        <v>29</v>
      </c>
    </row>
    <row r="567" spans="1:6" x14ac:dyDescent="0.2">
      <c r="A567" s="11" t="s">
        <v>42</v>
      </c>
      <c r="B567">
        <v>0.5</v>
      </c>
      <c r="C567" s="9" t="s">
        <v>7</v>
      </c>
      <c r="D567" s="9" t="s">
        <v>12</v>
      </c>
      <c r="E567" s="9">
        <v>140</v>
      </c>
      <c r="F567" s="9" t="s">
        <v>29</v>
      </c>
    </row>
    <row r="568" spans="1:6" x14ac:dyDescent="0.2">
      <c r="A568" s="11" t="s">
        <v>42</v>
      </c>
      <c r="B568">
        <v>0.5</v>
      </c>
      <c r="C568" s="9" t="s">
        <v>8</v>
      </c>
      <c r="D568" s="9" t="s">
        <v>12</v>
      </c>
      <c r="E568" s="9">
        <v>140</v>
      </c>
      <c r="F568" s="9" t="s">
        <v>29</v>
      </c>
    </row>
    <row r="569" spans="1:6" x14ac:dyDescent="0.2">
      <c r="A569" s="11" t="s">
        <v>42</v>
      </c>
      <c r="B569">
        <v>1</v>
      </c>
      <c r="C569" s="9" t="s">
        <v>6</v>
      </c>
      <c r="D569" s="9" t="s">
        <v>12</v>
      </c>
      <c r="E569" s="9">
        <v>0</v>
      </c>
      <c r="F569" s="9" t="s">
        <v>29</v>
      </c>
    </row>
    <row r="570" spans="1:6" x14ac:dyDescent="0.2">
      <c r="A570" s="11" t="s">
        <v>42</v>
      </c>
      <c r="B570">
        <v>1</v>
      </c>
      <c r="C570" s="9" t="s">
        <v>7</v>
      </c>
      <c r="D570" s="9" t="s">
        <v>12</v>
      </c>
      <c r="E570" s="9">
        <v>0</v>
      </c>
      <c r="F570" s="9" t="s">
        <v>29</v>
      </c>
    </row>
    <row r="571" spans="1:6" x14ac:dyDescent="0.2">
      <c r="A571" s="11" t="s">
        <v>42</v>
      </c>
      <c r="B571">
        <v>1</v>
      </c>
      <c r="C571" s="9" t="s">
        <v>8</v>
      </c>
      <c r="D571" s="9" t="s">
        <v>12</v>
      </c>
      <c r="E571" s="9">
        <v>0</v>
      </c>
      <c r="F571" s="9" t="s">
        <v>29</v>
      </c>
    </row>
    <row r="572" spans="1:6" x14ac:dyDescent="0.2">
      <c r="A572" s="11" t="s">
        <v>42</v>
      </c>
      <c r="B572">
        <v>1</v>
      </c>
      <c r="C572" s="9" t="s">
        <v>6</v>
      </c>
      <c r="D572" s="9" t="s">
        <v>12</v>
      </c>
      <c r="E572" s="9">
        <v>94</v>
      </c>
      <c r="F572" s="9" t="s">
        <v>29</v>
      </c>
    </row>
    <row r="573" spans="1:6" x14ac:dyDescent="0.2">
      <c r="A573" s="11" t="s">
        <v>42</v>
      </c>
      <c r="B573">
        <v>1</v>
      </c>
      <c r="C573" s="9" t="s">
        <v>7</v>
      </c>
      <c r="D573" s="9" t="s">
        <v>12</v>
      </c>
      <c r="E573" s="9">
        <v>94</v>
      </c>
      <c r="F573" s="9" t="s">
        <v>29</v>
      </c>
    </row>
    <row r="574" spans="1:6" x14ac:dyDescent="0.2">
      <c r="A574" s="11" t="s">
        <v>42</v>
      </c>
      <c r="B574">
        <v>1</v>
      </c>
      <c r="C574" s="9" t="s">
        <v>8</v>
      </c>
      <c r="D574" s="9" t="s">
        <v>12</v>
      </c>
      <c r="E574" s="9">
        <v>94</v>
      </c>
      <c r="F574" s="9" t="s">
        <v>29</v>
      </c>
    </row>
    <row r="575" spans="1:6" x14ac:dyDescent="0.2">
      <c r="A575" s="11" t="s">
        <v>42</v>
      </c>
      <c r="B575">
        <v>1</v>
      </c>
      <c r="C575" s="9" t="s">
        <v>6</v>
      </c>
      <c r="D575" s="9" t="s">
        <v>12</v>
      </c>
      <c r="E575" s="9">
        <v>140</v>
      </c>
      <c r="F575" s="9" t="s">
        <v>29</v>
      </c>
    </row>
    <row r="576" spans="1:6" x14ac:dyDescent="0.2">
      <c r="A576" s="11" t="s">
        <v>42</v>
      </c>
      <c r="B576">
        <v>1</v>
      </c>
      <c r="C576" s="9" t="s">
        <v>7</v>
      </c>
      <c r="D576" s="9" t="s">
        <v>12</v>
      </c>
      <c r="E576" s="9">
        <v>140</v>
      </c>
      <c r="F576" s="9" t="s">
        <v>29</v>
      </c>
    </row>
    <row r="577" spans="1:6" x14ac:dyDescent="0.2">
      <c r="A577" s="11" t="s">
        <v>42</v>
      </c>
      <c r="B577">
        <v>1</v>
      </c>
      <c r="C577" s="9" t="s">
        <v>8</v>
      </c>
      <c r="D577" s="9" t="s">
        <v>12</v>
      </c>
      <c r="E577" s="9">
        <v>140</v>
      </c>
      <c r="F577" s="9" t="s">
        <v>29</v>
      </c>
    </row>
    <row r="578" spans="1:6" x14ac:dyDescent="0.2">
      <c r="A578" s="11" t="s">
        <v>42</v>
      </c>
      <c r="B578">
        <v>1.5</v>
      </c>
      <c r="C578" s="9" t="s">
        <v>6</v>
      </c>
      <c r="D578" s="9" t="s">
        <v>12</v>
      </c>
      <c r="E578" s="9">
        <v>0</v>
      </c>
      <c r="F578" s="9" t="s">
        <v>29</v>
      </c>
    </row>
    <row r="579" spans="1:6" x14ac:dyDescent="0.2">
      <c r="A579" s="11" t="s">
        <v>42</v>
      </c>
      <c r="B579">
        <v>1.5</v>
      </c>
      <c r="C579" s="9" t="s">
        <v>7</v>
      </c>
      <c r="D579" s="9" t="s">
        <v>12</v>
      </c>
      <c r="E579" s="9">
        <v>0</v>
      </c>
      <c r="F579" s="9" t="s">
        <v>29</v>
      </c>
    </row>
    <row r="580" spans="1:6" x14ac:dyDescent="0.2">
      <c r="A580" s="11" t="s">
        <v>42</v>
      </c>
      <c r="B580">
        <v>1.5</v>
      </c>
      <c r="C580" s="9" t="s">
        <v>8</v>
      </c>
      <c r="D580" s="9" t="s">
        <v>12</v>
      </c>
      <c r="E580" s="9">
        <v>0</v>
      </c>
      <c r="F580" s="9" t="s">
        <v>29</v>
      </c>
    </row>
    <row r="581" spans="1:6" x14ac:dyDescent="0.2">
      <c r="A581" s="11" t="s">
        <v>42</v>
      </c>
      <c r="B581">
        <v>1.5</v>
      </c>
      <c r="C581" s="9" t="s">
        <v>6</v>
      </c>
      <c r="D581" s="9" t="s">
        <v>12</v>
      </c>
      <c r="E581" s="9">
        <v>94</v>
      </c>
      <c r="F581" s="9" t="s">
        <v>29</v>
      </c>
    </row>
    <row r="582" spans="1:6" x14ac:dyDescent="0.2">
      <c r="A582" s="11" t="s">
        <v>42</v>
      </c>
      <c r="B582">
        <v>1.5</v>
      </c>
      <c r="C582" s="9" t="s">
        <v>7</v>
      </c>
      <c r="D582" s="9" t="s">
        <v>12</v>
      </c>
      <c r="E582" s="9">
        <v>94</v>
      </c>
      <c r="F582" s="9" t="s">
        <v>29</v>
      </c>
    </row>
    <row r="583" spans="1:6" x14ac:dyDescent="0.2">
      <c r="A583" s="11" t="s">
        <v>42</v>
      </c>
      <c r="B583">
        <v>1.5</v>
      </c>
      <c r="C583" s="9" t="s">
        <v>8</v>
      </c>
      <c r="D583" s="9" t="s">
        <v>12</v>
      </c>
      <c r="E583" s="9">
        <v>94</v>
      </c>
      <c r="F583" s="9" t="s">
        <v>29</v>
      </c>
    </row>
    <row r="584" spans="1:6" x14ac:dyDescent="0.2">
      <c r="A584" s="11" t="s">
        <v>42</v>
      </c>
      <c r="B584">
        <v>1.5</v>
      </c>
      <c r="C584" s="9" t="s">
        <v>6</v>
      </c>
      <c r="D584" s="9" t="s">
        <v>12</v>
      </c>
      <c r="E584" s="9">
        <v>140</v>
      </c>
      <c r="F584" s="9" t="s">
        <v>29</v>
      </c>
    </row>
    <row r="585" spans="1:6" x14ac:dyDescent="0.2">
      <c r="A585" s="11" t="s">
        <v>42</v>
      </c>
      <c r="B585">
        <v>1.5</v>
      </c>
      <c r="C585" s="9" t="s">
        <v>7</v>
      </c>
      <c r="D585" s="9" t="s">
        <v>12</v>
      </c>
      <c r="E585" s="9">
        <v>140</v>
      </c>
      <c r="F585" s="9" t="s">
        <v>29</v>
      </c>
    </row>
    <row r="586" spans="1:6" x14ac:dyDescent="0.2">
      <c r="A586" s="11" t="s">
        <v>42</v>
      </c>
      <c r="B586">
        <v>1.5</v>
      </c>
      <c r="C586" s="9" t="s">
        <v>8</v>
      </c>
      <c r="D586" s="9" t="s">
        <v>12</v>
      </c>
      <c r="E586" s="9">
        <v>140</v>
      </c>
      <c r="F586" s="9" t="s">
        <v>29</v>
      </c>
    </row>
    <row r="587" spans="1:6" x14ac:dyDescent="0.2">
      <c r="A587" s="11" t="s">
        <v>42</v>
      </c>
      <c r="B587">
        <v>0</v>
      </c>
      <c r="C587" s="9" t="s">
        <v>6</v>
      </c>
      <c r="D587" s="9" t="s">
        <v>12</v>
      </c>
      <c r="E587" s="9">
        <v>0</v>
      </c>
      <c r="F587" s="9" t="s">
        <v>29</v>
      </c>
    </row>
    <row r="588" spans="1:6" x14ac:dyDescent="0.2">
      <c r="A588" s="11" t="s">
        <v>42</v>
      </c>
      <c r="B588">
        <v>0</v>
      </c>
      <c r="C588" s="9" t="s">
        <v>7</v>
      </c>
      <c r="D588" s="9" t="s">
        <v>12</v>
      </c>
      <c r="E588" s="9">
        <v>0</v>
      </c>
      <c r="F588" s="9" t="s">
        <v>29</v>
      </c>
    </row>
    <row r="589" spans="1:6" x14ac:dyDescent="0.2">
      <c r="A589" s="11" t="s">
        <v>42</v>
      </c>
      <c r="B589">
        <v>0</v>
      </c>
      <c r="C589" s="9" t="s">
        <v>8</v>
      </c>
      <c r="D589" s="9" t="s">
        <v>12</v>
      </c>
      <c r="E589" s="9">
        <v>0</v>
      </c>
      <c r="F589" s="9" t="s">
        <v>29</v>
      </c>
    </row>
    <row r="590" spans="1:6" x14ac:dyDescent="0.2">
      <c r="A590" s="11" t="s">
        <v>42</v>
      </c>
      <c r="B590">
        <v>0</v>
      </c>
      <c r="C590" s="9" t="s">
        <v>6</v>
      </c>
      <c r="D590" s="9" t="s">
        <v>12</v>
      </c>
      <c r="E590" s="9">
        <v>94</v>
      </c>
      <c r="F590" s="9">
        <v>0.35599999999999998</v>
      </c>
    </row>
    <row r="591" spans="1:6" x14ac:dyDescent="0.2">
      <c r="A591" s="11" t="s">
        <v>42</v>
      </c>
      <c r="B591">
        <v>0</v>
      </c>
      <c r="C591" s="9" t="s">
        <v>7</v>
      </c>
      <c r="D591" s="9" t="s">
        <v>12</v>
      </c>
      <c r="E591" s="9">
        <v>94</v>
      </c>
      <c r="F591" s="9">
        <v>0.45300000000000001</v>
      </c>
    </row>
    <row r="592" spans="1:6" x14ac:dyDescent="0.2">
      <c r="A592" s="11" t="s">
        <v>42</v>
      </c>
      <c r="B592">
        <v>0</v>
      </c>
      <c r="C592" s="9" t="s">
        <v>8</v>
      </c>
      <c r="D592" s="9" t="s">
        <v>12</v>
      </c>
      <c r="E592" s="9">
        <v>94</v>
      </c>
      <c r="F592" s="9">
        <v>7.3999999999999996E-2</v>
      </c>
    </row>
    <row r="593" spans="1:6" x14ac:dyDescent="0.2">
      <c r="A593" s="11" t="s">
        <v>42</v>
      </c>
      <c r="B593">
        <v>0</v>
      </c>
      <c r="C593" s="9" t="s">
        <v>6</v>
      </c>
      <c r="D593" s="9" t="s">
        <v>12</v>
      </c>
      <c r="E593" s="9">
        <v>140</v>
      </c>
      <c r="F593" s="9">
        <v>0.44600000000000001</v>
      </c>
    </row>
    <row r="594" spans="1:6" x14ac:dyDescent="0.2">
      <c r="A594" s="11" t="s">
        <v>42</v>
      </c>
      <c r="B594">
        <v>0</v>
      </c>
      <c r="C594" s="9" t="s">
        <v>7</v>
      </c>
      <c r="D594" s="9" t="s">
        <v>12</v>
      </c>
      <c r="E594" s="9">
        <v>140</v>
      </c>
      <c r="F594" s="9">
        <v>0.27800000000000002</v>
      </c>
    </row>
    <row r="595" spans="1:6" x14ac:dyDescent="0.2">
      <c r="A595" s="11" t="s">
        <v>42</v>
      </c>
      <c r="B595">
        <v>0</v>
      </c>
      <c r="C595" s="9" t="s">
        <v>8</v>
      </c>
      <c r="D595" s="9" t="s">
        <v>12</v>
      </c>
      <c r="E595" s="9">
        <v>140</v>
      </c>
      <c r="F595" s="9" t="s">
        <v>29</v>
      </c>
    </row>
    <row r="596" spans="1:6" x14ac:dyDescent="0.2">
      <c r="A596" s="11" t="s">
        <v>42</v>
      </c>
      <c r="B596">
        <v>0.25</v>
      </c>
      <c r="C596" s="9" t="s">
        <v>6</v>
      </c>
      <c r="D596" s="9" t="s">
        <v>31</v>
      </c>
      <c r="E596" s="9">
        <v>0</v>
      </c>
      <c r="F596" s="9" t="s">
        <v>29</v>
      </c>
    </row>
    <row r="597" spans="1:6" x14ac:dyDescent="0.2">
      <c r="A597" s="11" t="s">
        <v>42</v>
      </c>
      <c r="B597">
        <v>0.25</v>
      </c>
      <c r="C597" s="9" t="s">
        <v>7</v>
      </c>
      <c r="D597" s="9" t="s">
        <v>31</v>
      </c>
      <c r="E597" s="9">
        <v>0</v>
      </c>
      <c r="F597" s="9" t="s">
        <v>29</v>
      </c>
    </row>
    <row r="598" spans="1:6" x14ac:dyDescent="0.2">
      <c r="A598" s="11" t="s">
        <v>42</v>
      </c>
      <c r="B598">
        <v>0.25</v>
      </c>
      <c r="C598" s="9" t="s">
        <v>8</v>
      </c>
      <c r="D598" s="9" t="s">
        <v>31</v>
      </c>
      <c r="E598" s="9">
        <v>0</v>
      </c>
      <c r="F598" s="9" t="s">
        <v>29</v>
      </c>
    </row>
    <row r="599" spans="1:6" x14ac:dyDescent="0.2">
      <c r="A599" s="11" t="s">
        <v>42</v>
      </c>
      <c r="B599">
        <v>0.25</v>
      </c>
      <c r="C599" s="9" t="s">
        <v>6</v>
      </c>
      <c r="D599" s="9" t="s">
        <v>31</v>
      </c>
      <c r="E599" s="9">
        <v>94</v>
      </c>
      <c r="F599" s="9" t="s">
        <v>29</v>
      </c>
    </row>
    <row r="600" spans="1:6" x14ac:dyDescent="0.2">
      <c r="A600" s="11" t="s">
        <v>42</v>
      </c>
      <c r="B600">
        <v>0.25</v>
      </c>
      <c r="C600" s="9" t="s">
        <v>7</v>
      </c>
      <c r="D600" s="9" t="s">
        <v>31</v>
      </c>
      <c r="E600" s="9">
        <v>94</v>
      </c>
      <c r="F600" s="9" t="s">
        <v>29</v>
      </c>
    </row>
    <row r="601" spans="1:6" x14ac:dyDescent="0.2">
      <c r="A601" s="11" t="s">
        <v>42</v>
      </c>
      <c r="B601">
        <v>0.25</v>
      </c>
      <c r="C601" s="9" t="s">
        <v>8</v>
      </c>
      <c r="D601" s="9" t="s">
        <v>31</v>
      </c>
      <c r="E601" s="9">
        <v>94</v>
      </c>
      <c r="F601" s="9">
        <v>2.1940000000000001E-2</v>
      </c>
    </row>
    <row r="602" spans="1:6" x14ac:dyDescent="0.2">
      <c r="A602" s="11" t="s">
        <v>42</v>
      </c>
      <c r="B602">
        <v>0.25</v>
      </c>
      <c r="C602" s="9" t="s">
        <v>6</v>
      </c>
      <c r="D602" s="9" t="s">
        <v>31</v>
      </c>
      <c r="E602" s="9">
        <v>140</v>
      </c>
      <c r="F602" s="9">
        <v>8.7720000000000006E-2</v>
      </c>
    </row>
    <row r="603" spans="1:6" x14ac:dyDescent="0.2">
      <c r="A603" s="11" t="s">
        <v>42</v>
      </c>
      <c r="B603">
        <v>0.25</v>
      </c>
      <c r="C603" s="9" t="s">
        <v>7</v>
      </c>
      <c r="D603" s="9" t="s">
        <v>31</v>
      </c>
      <c r="E603" s="9">
        <v>140</v>
      </c>
      <c r="F603" s="9" t="s">
        <v>29</v>
      </c>
    </row>
    <row r="604" spans="1:6" x14ac:dyDescent="0.2">
      <c r="A604" s="11" t="s">
        <v>42</v>
      </c>
      <c r="B604">
        <v>0.25</v>
      </c>
      <c r="C604" s="9" t="s">
        <v>8</v>
      </c>
      <c r="D604" s="9" t="s">
        <v>31</v>
      </c>
      <c r="E604" s="9">
        <v>140</v>
      </c>
      <c r="F604" s="9" t="s">
        <v>29</v>
      </c>
    </row>
    <row r="605" spans="1:6" x14ac:dyDescent="0.2">
      <c r="A605" s="11" t="s">
        <v>42</v>
      </c>
      <c r="B605">
        <v>0.5</v>
      </c>
      <c r="C605" s="9" t="s">
        <v>6</v>
      </c>
      <c r="D605" s="9" t="s">
        <v>31</v>
      </c>
      <c r="E605" s="9">
        <v>0</v>
      </c>
      <c r="F605" s="9" t="s">
        <v>29</v>
      </c>
    </row>
    <row r="606" spans="1:6" x14ac:dyDescent="0.2">
      <c r="A606" s="11" t="s">
        <v>42</v>
      </c>
      <c r="B606">
        <v>0.5</v>
      </c>
      <c r="C606" s="9" t="s">
        <v>7</v>
      </c>
      <c r="D606" s="9" t="s">
        <v>31</v>
      </c>
      <c r="E606" s="9">
        <v>0</v>
      </c>
      <c r="F606" s="9" t="s">
        <v>29</v>
      </c>
    </row>
    <row r="607" spans="1:6" x14ac:dyDescent="0.2">
      <c r="A607" s="11" t="s">
        <v>42</v>
      </c>
      <c r="B607">
        <v>0.5</v>
      </c>
      <c r="C607" s="9" t="s">
        <v>8</v>
      </c>
      <c r="D607" s="9" t="s">
        <v>31</v>
      </c>
      <c r="E607" s="9">
        <v>0</v>
      </c>
      <c r="F607" s="9" t="s">
        <v>29</v>
      </c>
    </row>
    <row r="608" spans="1:6" x14ac:dyDescent="0.2">
      <c r="A608" s="11" t="s">
        <v>42</v>
      </c>
      <c r="B608">
        <v>0.5</v>
      </c>
      <c r="C608" s="9" t="s">
        <v>6</v>
      </c>
      <c r="D608" s="9" t="s">
        <v>31</v>
      </c>
      <c r="E608" s="9">
        <v>94</v>
      </c>
      <c r="F608" s="9" t="s">
        <v>29</v>
      </c>
    </row>
    <row r="609" spans="1:6" x14ac:dyDescent="0.2">
      <c r="A609" s="11" t="s">
        <v>42</v>
      </c>
      <c r="B609">
        <v>0.5</v>
      </c>
      <c r="C609" s="9" t="s">
        <v>7</v>
      </c>
      <c r="D609" s="9" t="s">
        <v>31</v>
      </c>
      <c r="E609" s="9">
        <v>94</v>
      </c>
      <c r="F609" s="9">
        <v>8.3699999999999997E-2</v>
      </c>
    </row>
    <row r="610" spans="1:6" x14ac:dyDescent="0.2">
      <c r="A610" s="11" t="s">
        <v>42</v>
      </c>
      <c r="B610">
        <v>0.5</v>
      </c>
      <c r="C610" s="9" t="s">
        <v>8</v>
      </c>
      <c r="D610" s="9" t="s">
        <v>31</v>
      </c>
      <c r="E610" s="9">
        <v>94</v>
      </c>
      <c r="F610" s="9" t="s">
        <v>29</v>
      </c>
    </row>
    <row r="611" spans="1:6" x14ac:dyDescent="0.2">
      <c r="A611" s="11" t="s">
        <v>42</v>
      </c>
      <c r="B611">
        <v>0.5</v>
      </c>
      <c r="C611" s="9" t="s">
        <v>6</v>
      </c>
      <c r="D611" s="9" t="s">
        <v>31</v>
      </c>
      <c r="E611" s="9">
        <v>140</v>
      </c>
      <c r="F611" s="9" t="s">
        <v>29</v>
      </c>
    </row>
    <row r="612" spans="1:6" x14ac:dyDescent="0.2">
      <c r="A612" s="11" t="s">
        <v>42</v>
      </c>
      <c r="B612">
        <v>0.5</v>
      </c>
      <c r="C612" s="9" t="s">
        <v>7</v>
      </c>
      <c r="D612" s="9" t="s">
        <v>31</v>
      </c>
      <c r="E612" s="9">
        <v>140</v>
      </c>
      <c r="F612" s="9" t="s">
        <v>29</v>
      </c>
    </row>
    <row r="613" spans="1:6" x14ac:dyDescent="0.2">
      <c r="A613" s="11" t="s">
        <v>42</v>
      </c>
      <c r="B613">
        <v>0.5</v>
      </c>
      <c r="C613" s="9" t="s">
        <v>8</v>
      </c>
      <c r="D613" s="9" t="s">
        <v>31</v>
      </c>
      <c r="E613" s="9">
        <v>140</v>
      </c>
      <c r="F613" s="9">
        <v>0.16652</v>
      </c>
    </row>
    <row r="614" spans="1:6" x14ac:dyDescent="0.2">
      <c r="A614" s="11" t="s">
        <v>42</v>
      </c>
      <c r="B614">
        <v>1</v>
      </c>
      <c r="C614" s="9" t="s">
        <v>6</v>
      </c>
      <c r="D614" s="9" t="s">
        <v>31</v>
      </c>
      <c r="E614" s="9">
        <v>0</v>
      </c>
      <c r="F614" s="9" t="s">
        <v>29</v>
      </c>
    </row>
    <row r="615" spans="1:6" x14ac:dyDescent="0.2">
      <c r="A615" s="11" t="s">
        <v>42</v>
      </c>
      <c r="B615">
        <v>1</v>
      </c>
      <c r="C615" s="9" t="s">
        <v>7</v>
      </c>
      <c r="D615" s="9" t="s">
        <v>31</v>
      </c>
      <c r="E615" s="9">
        <v>0</v>
      </c>
      <c r="F615" s="9" t="s">
        <v>29</v>
      </c>
    </row>
    <row r="616" spans="1:6" x14ac:dyDescent="0.2">
      <c r="A616" s="11" t="s">
        <v>42</v>
      </c>
      <c r="B616">
        <v>1</v>
      </c>
      <c r="C616" s="9" t="s">
        <v>8</v>
      </c>
      <c r="D616" s="9" t="s">
        <v>31</v>
      </c>
      <c r="E616" s="9">
        <v>0</v>
      </c>
      <c r="F616" s="9" t="s">
        <v>29</v>
      </c>
    </row>
    <row r="617" spans="1:6" x14ac:dyDescent="0.2">
      <c r="A617" s="11" t="s">
        <v>42</v>
      </c>
      <c r="B617">
        <v>1</v>
      </c>
      <c r="C617" s="9" t="s">
        <v>6</v>
      </c>
      <c r="D617" s="9" t="s">
        <v>31</v>
      </c>
      <c r="E617" s="9">
        <v>94</v>
      </c>
      <c r="F617" s="9">
        <v>7.8020000000000006E-2</v>
      </c>
    </row>
    <row r="618" spans="1:6" x14ac:dyDescent="0.2">
      <c r="A618" s="11" t="s">
        <v>42</v>
      </c>
      <c r="B618">
        <v>1</v>
      </c>
      <c r="C618" s="9" t="s">
        <v>7</v>
      </c>
      <c r="D618" s="9" t="s">
        <v>31</v>
      </c>
      <c r="E618" s="9">
        <v>94</v>
      </c>
      <c r="F618" s="9" t="s">
        <v>29</v>
      </c>
    </row>
    <row r="619" spans="1:6" x14ac:dyDescent="0.2">
      <c r="A619" s="11" t="s">
        <v>42</v>
      </c>
      <c r="B619">
        <v>1</v>
      </c>
      <c r="C619" s="9" t="s">
        <v>8</v>
      </c>
      <c r="D619" s="9" t="s">
        <v>31</v>
      </c>
      <c r="E619" s="9">
        <v>94</v>
      </c>
      <c r="F619" s="9" t="s">
        <v>29</v>
      </c>
    </row>
    <row r="620" spans="1:6" x14ac:dyDescent="0.2">
      <c r="A620" s="11" t="s">
        <v>42</v>
      </c>
      <c r="B620">
        <v>1</v>
      </c>
      <c r="C620" s="9" t="s">
        <v>6</v>
      </c>
      <c r="D620" s="9" t="s">
        <v>31</v>
      </c>
      <c r="E620" s="9">
        <v>140</v>
      </c>
      <c r="F620" s="9" t="s">
        <v>29</v>
      </c>
    </row>
    <row r="621" spans="1:6" x14ac:dyDescent="0.2">
      <c r="A621" s="11" t="s">
        <v>42</v>
      </c>
      <c r="B621">
        <v>1</v>
      </c>
      <c r="C621" s="9" t="s">
        <v>7</v>
      </c>
      <c r="D621" s="9" t="s">
        <v>31</v>
      </c>
      <c r="E621" s="9">
        <v>140</v>
      </c>
      <c r="F621" s="9">
        <v>6.6259999999999999E-2</v>
      </c>
    </row>
    <row r="622" spans="1:6" x14ac:dyDescent="0.2">
      <c r="A622" s="11" t="s">
        <v>42</v>
      </c>
      <c r="B622">
        <v>1</v>
      </c>
      <c r="C622" s="9" t="s">
        <v>8</v>
      </c>
      <c r="D622" s="9" t="s">
        <v>31</v>
      </c>
      <c r="E622" s="9">
        <v>140</v>
      </c>
      <c r="F622" s="9" t="s">
        <v>29</v>
      </c>
    </row>
    <row r="623" spans="1:6" x14ac:dyDescent="0.2">
      <c r="A623" s="11" t="s">
        <v>42</v>
      </c>
      <c r="B623">
        <v>1.5</v>
      </c>
      <c r="C623" s="9" t="s">
        <v>6</v>
      </c>
      <c r="D623" s="9" t="s">
        <v>31</v>
      </c>
      <c r="E623" s="9">
        <v>0</v>
      </c>
      <c r="F623" s="9" t="s">
        <v>29</v>
      </c>
    </row>
    <row r="624" spans="1:6" x14ac:dyDescent="0.2">
      <c r="A624" s="11" t="s">
        <v>42</v>
      </c>
      <c r="B624">
        <v>1.5</v>
      </c>
      <c r="C624" s="9" t="s">
        <v>7</v>
      </c>
      <c r="D624" s="9" t="s">
        <v>31</v>
      </c>
      <c r="E624" s="9">
        <v>0</v>
      </c>
      <c r="F624" s="9" t="s">
        <v>29</v>
      </c>
    </row>
    <row r="625" spans="1:6" x14ac:dyDescent="0.2">
      <c r="A625" s="11" t="s">
        <v>42</v>
      </c>
      <c r="B625">
        <v>1.5</v>
      </c>
      <c r="C625" s="9" t="s">
        <v>8</v>
      </c>
      <c r="D625" s="9" t="s">
        <v>31</v>
      </c>
      <c r="E625" s="9">
        <v>0</v>
      </c>
      <c r="F625" s="9" t="s">
        <v>29</v>
      </c>
    </row>
    <row r="626" spans="1:6" x14ac:dyDescent="0.2">
      <c r="A626" s="11" t="s">
        <v>42</v>
      </c>
      <c r="B626">
        <v>1.5</v>
      </c>
      <c r="C626" s="9" t="s">
        <v>6</v>
      </c>
      <c r="D626" s="9" t="s">
        <v>31</v>
      </c>
      <c r="E626" s="9">
        <v>94</v>
      </c>
      <c r="F626" s="9" t="s">
        <v>29</v>
      </c>
    </row>
    <row r="627" spans="1:6" x14ac:dyDescent="0.2">
      <c r="A627" s="11" t="s">
        <v>42</v>
      </c>
      <c r="B627">
        <v>1.5</v>
      </c>
      <c r="C627" s="9" t="s">
        <v>7</v>
      </c>
      <c r="D627" s="9" t="s">
        <v>31</v>
      </c>
      <c r="E627" s="9">
        <v>94</v>
      </c>
      <c r="F627" s="9" t="s">
        <v>29</v>
      </c>
    </row>
    <row r="628" spans="1:6" x14ac:dyDescent="0.2">
      <c r="A628" s="11" t="s">
        <v>42</v>
      </c>
      <c r="B628">
        <v>1.5</v>
      </c>
      <c r="C628" s="9" t="s">
        <v>8</v>
      </c>
      <c r="D628" s="9" t="s">
        <v>31</v>
      </c>
      <c r="E628" s="9">
        <v>94</v>
      </c>
      <c r="F628" s="9" t="s">
        <v>29</v>
      </c>
    </row>
    <row r="629" spans="1:6" x14ac:dyDescent="0.2">
      <c r="A629" s="11" t="s">
        <v>42</v>
      </c>
      <c r="B629">
        <v>1.5</v>
      </c>
      <c r="C629" s="9" t="s">
        <v>6</v>
      </c>
      <c r="D629" s="9" t="s">
        <v>31</v>
      </c>
      <c r="E629" s="9">
        <v>140</v>
      </c>
      <c r="F629" s="9">
        <v>0.18099999999999999</v>
      </c>
    </row>
    <row r="630" spans="1:6" x14ac:dyDescent="0.2">
      <c r="A630" s="11" t="s">
        <v>42</v>
      </c>
      <c r="B630">
        <v>1.5</v>
      </c>
      <c r="C630" s="9" t="s">
        <v>7</v>
      </c>
      <c r="D630" s="9" t="s">
        <v>31</v>
      </c>
      <c r="E630" s="9">
        <v>140</v>
      </c>
      <c r="F630" s="9">
        <v>0.109</v>
      </c>
    </row>
    <row r="631" spans="1:6" x14ac:dyDescent="0.2">
      <c r="A631" s="11" t="s">
        <v>42</v>
      </c>
      <c r="B631">
        <v>1.5</v>
      </c>
      <c r="C631" s="9" t="s">
        <v>8</v>
      </c>
      <c r="D631" s="9" t="s">
        <v>31</v>
      </c>
      <c r="E631" s="9">
        <v>140</v>
      </c>
      <c r="F631" s="9" t="s">
        <v>29</v>
      </c>
    </row>
    <row r="632" spans="1:6" x14ac:dyDescent="0.2">
      <c r="A632" s="11" t="s">
        <v>42</v>
      </c>
      <c r="B632">
        <v>0</v>
      </c>
      <c r="C632" s="9" t="s">
        <v>6</v>
      </c>
      <c r="D632" s="9" t="s">
        <v>31</v>
      </c>
      <c r="E632" s="9">
        <v>0</v>
      </c>
      <c r="F632" s="9" t="s">
        <v>29</v>
      </c>
    </row>
    <row r="633" spans="1:6" x14ac:dyDescent="0.2">
      <c r="A633" s="11" t="s">
        <v>42</v>
      </c>
      <c r="B633">
        <v>0</v>
      </c>
      <c r="C633" s="9" t="s">
        <v>7</v>
      </c>
      <c r="D633" s="9" t="s">
        <v>31</v>
      </c>
      <c r="E633" s="9">
        <v>0</v>
      </c>
      <c r="F633" s="9" t="s">
        <v>29</v>
      </c>
    </row>
    <row r="634" spans="1:6" x14ac:dyDescent="0.2">
      <c r="A634" s="11" t="s">
        <v>42</v>
      </c>
      <c r="B634">
        <v>0</v>
      </c>
      <c r="C634" s="9" t="s">
        <v>8</v>
      </c>
      <c r="D634" s="9" t="s">
        <v>31</v>
      </c>
      <c r="E634" s="9">
        <v>0</v>
      </c>
      <c r="F634" s="9" t="s">
        <v>29</v>
      </c>
    </row>
    <row r="635" spans="1:6" x14ac:dyDescent="0.2">
      <c r="A635" s="11" t="s">
        <v>42</v>
      </c>
      <c r="B635">
        <v>0</v>
      </c>
      <c r="C635" s="9" t="s">
        <v>6</v>
      </c>
      <c r="D635" s="9" t="s">
        <v>31</v>
      </c>
      <c r="E635" s="9">
        <v>94</v>
      </c>
      <c r="F635" s="9">
        <v>0.47</v>
      </c>
    </row>
    <row r="636" spans="1:6" x14ac:dyDescent="0.2">
      <c r="A636" s="11" t="s">
        <v>42</v>
      </c>
      <c r="B636">
        <v>0</v>
      </c>
      <c r="C636" s="9" t="s">
        <v>7</v>
      </c>
      <c r="D636" s="9" t="s">
        <v>31</v>
      </c>
      <c r="E636" s="9">
        <v>94</v>
      </c>
      <c r="F636" s="9">
        <v>0.79</v>
      </c>
    </row>
    <row r="637" spans="1:6" x14ac:dyDescent="0.2">
      <c r="A637" s="11" t="s">
        <v>42</v>
      </c>
      <c r="B637">
        <v>0</v>
      </c>
      <c r="C637" s="9" t="s">
        <v>8</v>
      </c>
      <c r="D637" s="9" t="s">
        <v>31</v>
      </c>
      <c r="E637" s="9">
        <v>94</v>
      </c>
      <c r="F637" s="9">
        <v>0.70799999999999996</v>
      </c>
    </row>
    <row r="638" spans="1:6" x14ac:dyDescent="0.2">
      <c r="A638" s="11" t="s">
        <v>42</v>
      </c>
      <c r="B638">
        <v>0</v>
      </c>
      <c r="C638" s="9" t="s">
        <v>6</v>
      </c>
      <c r="D638" s="9" t="s">
        <v>31</v>
      </c>
      <c r="E638" s="9">
        <v>140</v>
      </c>
      <c r="F638" s="9">
        <v>0.70799999999999996</v>
      </c>
    </row>
    <row r="639" spans="1:6" x14ac:dyDescent="0.2">
      <c r="A639" s="11" t="s">
        <v>42</v>
      </c>
      <c r="B639">
        <v>0</v>
      </c>
      <c r="C639" s="9" t="s">
        <v>7</v>
      </c>
      <c r="D639" s="9" t="s">
        <v>31</v>
      </c>
      <c r="E639" s="9">
        <v>140</v>
      </c>
      <c r="F639" s="9">
        <v>0.61299999999999999</v>
      </c>
    </row>
    <row r="640" spans="1:6" x14ac:dyDescent="0.2">
      <c r="A640" s="11" t="s">
        <v>42</v>
      </c>
      <c r="B640">
        <v>0</v>
      </c>
      <c r="C640" s="9" t="s">
        <v>8</v>
      </c>
      <c r="D640" s="9" t="s">
        <v>31</v>
      </c>
      <c r="E640" s="9">
        <v>140</v>
      </c>
      <c r="F640" s="9">
        <v>0.69299999999999995</v>
      </c>
    </row>
    <row r="641" spans="1:6" x14ac:dyDescent="0.2">
      <c r="A641" s="11" t="s">
        <v>42</v>
      </c>
      <c r="B641">
        <v>0.25</v>
      </c>
      <c r="C641" s="9" t="s">
        <v>6</v>
      </c>
      <c r="D641" s="9" t="s">
        <v>32</v>
      </c>
      <c r="E641" s="9">
        <v>0</v>
      </c>
      <c r="F641" s="9">
        <v>5.1999999999999998E-2</v>
      </c>
    </row>
    <row r="642" spans="1:6" x14ac:dyDescent="0.2">
      <c r="A642" s="11" t="s">
        <v>42</v>
      </c>
      <c r="B642">
        <v>0.25</v>
      </c>
      <c r="C642" s="9" t="s">
        <v>7</v>
      </c>
      <c r="D642" s="9" t="s">
        <v>32</v>
      </c>
      <c r="E642" s="9">
        <v>0</v>
      </c>
      <c r="F642" s="9">
        <v>3.4000000000000002E-2</v>
      </c>
    </row>
    <row r="643" spans="1:6" x14ac:dyDescent="0.2">
      <c r="A643" s="11" t="s">
        <v>42</v>
      </c>
      <c r="B643">
        <v>0.25</v>
      </c>
      <c r="C643" s="9" t="s">
        <v>8</v>
      </c>
      <c r="D643" s="9" t="s">
        <v>32</v>
      </c>
      <c r="E643" s="9">
        <v>0</v>
      </c>
      <c r="F643" s="9">
        <v>7.8E-2</v>
      </c>
    </row>
    <row r="644" spans="1:6" x14ac:dyDescent="0.2">
      <c r="A644" s="11" t="s">
        <v>42</v>
      </c>
      <c r="B644">
        <v>0.25</v>
      </c>
      <c r="C644" s="9" t="s">
        <v>6</v>
      </c>
      <c r="D644" s="9" t="s">
        <v>32</v>
      </c>
      <c r="E644" s="9">
        <v>94</v>
      </c>
      <c r="F644" s="9">
        <v>2.411</v>
      </c>
    </row>
    <row r="645" spans="1:6" x14ac:dyDescent="0.2">
      <c r="A645" s="11" t="s">
        <v>42</v>
      </c>
      <c r="B645">
        <v>0.25</v>
      </c>
      <c r="C645" s="9" t="s">
        <v>7</v>
      </c>
      <c r="D645" s="9" t="s">
        <v>32</v>
      </c>
      <c r="E645" s="9">
        <v>94</v>
      </c>
      <c r="F645" s="9">
        <v>2.2549999999999999</v>
      </c>
    </row>
    <row r="646" spans="1:6" x14ac:dyDescent="0.2">
      <c r="A646" s="11" t="s">
        <v>42</v>
      </c>
      <c r="B646">
        <v>0.25</v>
      </c>
      <c r="C646" s="9" t="s">
        <v>8</v>
      </c>
      <c r="D646" s="9" t="s">
        <v>32</v>
      </c>
      <c r="E646" s="9">
        <v>94</v>
      </c>
      <c r="F646" s="9">
        <v>2.7490000000000001</v>
      </c>
    </row>
    <row r="647" spans="1:6" x14ac:dyDescent="0.2">
      <c r="A647" s="11" t="s">
        <v>42</v>
      </c>
      <c r="B647">
        <v>0.25</v>
      </c>
      <c r="C647" s="9" t="s">
        <v>6</v>
      </c>
      <c r="D647" s="9" t="s">
        <v>32</v>
      </c>
      <c r="E647" s="9">
        <v>140</v>
      </c>
      <c r="F647" s="9">
        <v>3.4950000000000001</v>
      </c>
    </row>
    <row r="648" spans="1:6" x14ac:dyDescent="0.2">
      <c r="A648" s="11" t="s">
        <v>42</v>
      </c>
      <c r="B648">
        <v>0.25</v>
      </c>
      <c r="C648" s="9" t="s">
        <v>7</v>
      </c>
      <c r="D648" s="9" t="s">
        <v>32</v>
      </c>
      <c r="E648" s="9">
        <v>140</v>
      </c>
      <c r="F648" s="9">
        <v>3.536</v>
      </c>
    </row>
    <row r="649" spans="1:6" x14ac:dyDescent="0.2">
      <c r="A649" s="11" t="s">
        <v>42</v>
      </c>
      <c r="B649">
        <v>0.25</v>
      </c>
      <c r="C649" s="9" t="s">
        <v>8</v>
      </c>
      <c r="D649" s="9" t="s">
        <v>32</v>
      </c>
      <c r="E649" s="9">
        <v>140</v>
      </c>
      <c r="F649" s="9">
        <v>4.1550000000000002</v>
      </c>
    </row>
    <row r="650" spans="1:6" x14ac:dyDescent="0.2">
      <c r="A650" s="11" t="s">
        <v>42</v>
      </c>
      <c r="B650">
        <v>0.5</v>
      </c>
      <c r="C650" s="9" t="s">
        <v>6</v>
      </c>
      <c r="D650" s="9" t="s">
        <v>32</v>
      </c>
      <c r="E650" s="9">
        <v>0</v>
      </c>
      <c r="F650" s="9">
        <v>5.2999999999999999E-2</v>
      </c>
    </row>
    <row r="651" spans="1:6" x14ac:dyDescent="0.2">
      <c r="A651" s="11" t="s">
        <v>42</v>
      </c>
      <c r="B651">
        <v>0.5</v>
      </c>
      <c r="C651" s="9" t="s">
        <v>7</v>
      </c>
      <c r="D651" s="9" t="s">
        <v>32</v>
      </c>
      <c r="E651" s="9">
        <v>0</v>
      </c>
      <c r="F651" s="9">
        <v>4.4999999999999998E-2</v>
      </c>
    </row>
    <row r="652" spans="1:6" x14ac:dyDescent="0.2">
      <c r="A652" s="11" t="s">
        <v>42</v>
      </c>
      <c r="B652">
        <v>0.5</v>
      </c>
      <c r="C652" s="9" t="s">
        <v>8</v>
      </c>
      <c r="D652" s="9" t="s">
        <v>32</v>
      </c>
      <c r="E652" s="9">
        <v>0</v>
      </c>
      <c r="F652" s="9">
        <v>6.5000000000000002E-2</v>
      </c>
    </row>
    <row r="653" spans="1:6" x14ac:dyDescent="0.2">
      <c r="A653" s="11" t="s">
        <v>42</v>
      </c>
      <c r="B653">
        <v>0.5</v>
      </c>
      <c r="C653" s="9" t="s">
        <v>6</v>
      </c>
      <c r="D653" s="9" t="s">
        <v>32</v>
      </c>
      <c r="E653" s="9">
        <v>94</v>
      </c>
      <c r="F653" s="9">
        <v>2.4689999999999999</v>
      </c>
    </row>
    <row r="654" spans="1:6" x14ac:dyDescent="0.2">
      <c r="A654" s="11" t="s">
        <v>42</v>
      </c>
      <c r="B654">
        <v>0.5</v>
      </c>
      <c r="C654" s="9" t="s">
        <v>7</v>
      </c>
      <c r="D654" s="9" t="s">
        <v>32</v>
      </c>
      <c r="E654" s="9">
        <v>94</v>
      </c>
      <c r="F654" s="9">
        <v>2.573</v>
      </c>
    </row>
    <row r="655" spans="1:6" x14ac:dyDescent="0.2">
      <c r="A655" s="11" t="s">
        <v>42</v>
      </c>
      <c r="B655">
        <v>0.5</v>
      </c>
      <c r="C655" s="9" t="s">
        <v>8</v>
      </c>
      <c r="D655" s="9" t="s">
        <v>32</v>
      </c>
      <c r="E655" s="9">
        <v>94</v>
      </c>
      <c r="F655" s="9">
        <v>2.3029999999999999</v>
      </c>
    </row>
    <row r="656" spans="1:6" x14ac:dyDescent="0.2">
      <c r="A656" s="11" t="s">
        <v>42</v>
      </c>
      <c r="B656">
        <v>0.5</v>
      </c>
      <c r="C656" s="9" t="s">
        <v>6</v>
      </c>
      <c r="D656" s="9" t="s">
        <v>32</v>
      </c>
      <c r="E656" s="9">
        <v>140</v>
      </c>
      <c r="F656" s="9">
        <v>4.7839999999999998</v>
      </c>
    </row>
    <row r="657" spans="1:6" x14ac:dyDescent="0.2">
      <c r="A657" s="11" t="s">
        <v>42</v>
      </c>
      <c r="B657">
        <v>0.5</v>
      </c>
      <c r="C657" s="9" t="s">
        <v>7</v>
      </c>
      <c r="D657" s="9" t="s">
        <v>32</v>
      </c>
      <c r="E657" s="9">
        <v>140</v>
      </c>
      <c r="F657" s="9">
        <v>3.8849999999999998</v>
      </c>
    </row>
    <row r="658" spans="1:6" x14ac:dyDescent="0.2">
      <c r="A658" s="11" t="s">
        <v>42</v>
      </c>
      <c r="B658">
        <v>0.5</v>
      </c>
      <c r="C658" s="9" t="s">
        <v>8</v>
      </c>
      <c r="D658" s="9" t="s">
        <v>32</v>
      </c>
      <c r="E658" s="9">
        <v>140</v>
      </c>
      <c r="F658" s="9">
        <v>5.2949999999999999</v>
      </c>
    </row>
    <row r="659" spans="1:6" x14ac:dyDescent="0.2">
      <c r="A659" s="11" t="s">
        <v>42</v>
      </c>
      <c r="B659">
        <v>1</v>
      </c>
      <c r="C659" s="9" t="s">
        <v>6</v>
      </c>
      <c r="D659" s="9" t="s">
        <v>32</v>
      </c>
      <c r="E659" s="9">
        <v>0</v>
      </c>
      <c r="F659" s="9">
        <v>4.2999999999999997E-2</v>
      </c>
    </row>
    <row r="660" spans="1:6" x14ac:dyDescent="0.2">
      <c r="A660" s="11" t="s">
        <v>42</v>
      </c>
      <c r="B660">
        <v>1</v>
      </c>
      <c r="C660" s="9" t="s">
        <v>7</v>
      </c>
      <c r="D660" s="9" t="s">
        <v>32</v>
      </c>
      <c r="E660" s="9">
        <v>0</v>
      </c>
      <c r="F660" s="9">
        <v>2.7E-2</v>
      </c>
    </row>
    <row r="661" spans="1:6" x14ac:dyDescent="0.2">
      <c r="A661" s="11" t="s">
        <v>42</v>
      </c>
      <c r="B661">
        <v>1</v>
      </c>
      <c r="C661" s="9" t="s">
        <v>8</v>
      </c>
      <c r="D661" s="9" t="s">
        <v>32</v>
      </c>
      <c r="E661" s="9">
        <v>0</v>
      </c>
      <c r="F661" s="9">
        <v>3.2000000000000001E-2</v>
      </c>
    </row>
    <row r="662" spans="1:6" x14ac:dyDescent="0.2">
      <c r="A662" s="11" t="s">
        <v>42</v>
      </c>
      <c r="B662">
        <v>1</v>
      </c>
      <c r="C662" s="9" t="s">
        <v>6</v>
      </c>
      <c r="D662" s="9" t="s">
        <v>32</v>
      </c>
      <c r="E662" s="9">
        <v>94</v>
      </c>
      <c r="F662" s="9">
        <v>1.347</v>
      </c>
    </row>
    <row r="663" spans="1:6" x14ac:dyDescent="0.2">
      <c r="A663" s="11" t="s">
        <v>42</v>
      </c>
      <c r="B663">
        <v>1</v>
      </c>
      <c r="C663" s="9" t="s">
        <v>7</v>
      </c>
      <c r="D663" s="9" t="s">
        <v>32</v>
      </c>
      <c r="E663" s="9">
        <v>94</v>
      </c>
      <c r="F663" s="9">
        <v>1.365</v>
      </c>
    </row>
    <row r="664" spans="1:6" x14ac:dyDescent="0.2">
      <c r="A664" s="11" t="s">
        <v>42</v>
      </c>
      <c r="B664">
        <v>1</v>
      </c>
      <c r="C664" s="9" t="s">
        <v>8</v>
      </c>
      <c r="D664" s="9" t="s">
        <v>32</v>
      </c>
      <c r="E664" s="9">
        <v>94</v>
      </c>
      <c r="F664" s="9">
        <v>1.361</v>
      </c>
    </row>
    <row r="665" spans="1:6" x14ac:dyDescent="0.2">
      <c r="A665" s="11" t="s">
        <v>42</v>
      </c>
      <c r="B665">
        <v>1</v>
      </c>
      <c r="C665" s="9" t="s">
        <v>6</v>
      </c>
      <c r="D665" s="9" t="s">
        <v>32</v>
      </c>
      <c r="E665" s="9">
        <v>140</v>
      </c>
      <c r="F665" s="9">
        <v>1.351</v>
      </c>
    </row>
    <row r="666" spans="1:6" x14ac:dyDescent="0.2">
      <c r="A666" s="11" t="s">
        <v>42</v>
      </c>
      <c r="B666">
        <v>1</v>
      </c>
      <c r="C666" s="9" t="s">
        <v>7</v>
      </c>
      <c r="D666" s="9" t="s">
        <v>32</v>
      </c>
      <c r="E666" s="9">
        <v>140</v>
      </c>
      <c r="F666" s="9">
        <v>1.3440000000000001</v>
      </c>
    </row>
    <row r="667" spans="1:6" x14ac:dyDescent="0.2">
      <c r="A667" s="11" t="s">
        <v>42</v>
      </c>
      <c r="B667">
        <v>1</v>
      </c>
      <c r="C667" s="9" t="s">
        <v>8</v>
      </c>
      <c r="D667" s="9" t="s">
        <v>32</v>
      </c>
      <c r="E667" s="9">
        <v>140</v>
      </c>
      <c r="F667" s="9">
        <v>1.575</v>
      </c>
    </row>
    <row r="668" spans="1:6" x14ac:dyDescent="0.2">
      <c r="A668" s="11" t="s">
        <v>42</v>
      </c>
      <c r="B668">
        <v>1.5</v>
      </c>
      <c r="C668" s="9" t="s">
        <v>6</v>
      </c>
      <c r="D668" s="9" t="s">
        <v>32</v>
      </c>
      <c r="E668" s="9">
        <v>0</v>
      </c>
      <c r="F668" s="9" t="s">
        <v>29</v>
      </c>
    </row>
    <row r="669" spans="1:6" x14ac:dyDescent="0.2">
      <c r="A669" s="11" t="s">
        <v>42</v>
      </c>
      <c r="B669">
        <v>1.5</v>
      </c>
      <c r="C669" s="9" t="s">
        <v>7</v>
      </c>
      <c r="D669" s="9" t="s">
        <v>32</v>
      </c>
      <c r="E669" s="9">
        <v>0</v>
      </c>
      <c r="F669" s="9">
        <v>4.8000000000000001E-2</v>
      </c>
    </row>
    <row r="670" spans="1:6" x14ac:dyDescent="0.2">
      <c r="A670" s="11" t="s">
        <v>42</v>
      </c>
      <c r="B670">
        <v>1.5</v>
      </c>
      <c r="C670" s="9" t="s">
        <v>8</v>
      </c>
      <c r="D670" s="9" t="s">
        <v>32</v>
      </c>
      <c r="E670" s="9">
        <v>0</v>
      </c>
      <c r="F670" s="9">
        <v>5.8999999999999997E-2</v>
      </c>
    </row>
    <row r="671" spans="1:6" x14ac:dyDescent="0.2">
      <c r="A671" s="11" t="s">
        <v>42</v>
      </c>
      <c r="B671">
        <v>1.5</v>
      </c>
      <c r="C671" s="9" t="s">
        <v>6</v>
      </c>
      <c r="D671" s="9" t="s">
        <v>32</v>
      </c>
      <c r="E671" s="9">
        <v>94</v>
      </c>
      <c r="F671" s="9">
        <v>1.2470000000000001</v>
      </c>
    </row>
    <row r="672" spans="1:6" x14ac:dyDescent="0.2">
      <c r="A672" s="11" t="s">
        <v>42</v>
      </c>
      <c r="B672">
        <v>1.5</v>
      </c>
      <c r="C672" s="9" t="s">
        <v>7</v>
      </c>
      <c r="D672" s="9" t="s">
        <v>32</v>
      </c>
      <c r="E672" s="9">
        <v>94</v>
      </c>
      <c r="F672" s="9">
        <v>1.042</v>
      </c>
    </row>
    <row r="673" spans="1:6" x14ac:dyDescent="0.2">
      <c r="A673" s="11" t="s">
        <v>42</v>
      </c>
      <c r="B673">
        <v>1.5</v>
      </c>
      <c r="C673" s="9" t="s">
        <v>8</v>
      </c>
      <c r="D673" s="9" t="s">
        <v>32</v>
      </c>
      <c r="E673" s="9">
        <v>94</v>
      </c>
      <c r="F673" s="9">
        <v>1.4730000000000001</v>
      </c>
    </row>
    <row r="674" spans="1:6" x14ac:dyDescent="0.2">
      <c r="A674" s="11" t="s">
        <v>42</v>
      </c>
      <c r="B674">
        <v>1.5</v>
      </c>
      <c r="C674" s="9" t="s">
        <v>6</v>
      </c>
      <c r="D674" s="9" t="s">
        <v>32</v>
      </c>
      <c r="E674" s="9">
        <v>140</v>
      </c>
      <c r="F674" s="9">
        <v>1.3819999999999999</v>
      </c>
    </row>
    <row r="675" spans="1:6" x14ac:dyDescent="0.2">
      <c r="A675" s="11" t="s">
        <v>42</v>
      </c>
      <c r="B675">
        <v>1.5</v>
      </c>
      <c r="C675" s="9" t="s">
        <v>7</v>
      </c>
      <c r="D675" s="9" t="s">
        <v>32</v>
      </c>
      <c r="E675" s="9">
        <v>140</v>
      </c>
      <c r="F675" s="9">
        <v>1.169</v>
      </c>
    </row>
    <row r="676" spans="1:6" x14ac:dyDescent="0.2">
      <c r="A676" s="11" t="s">
        <v>42</v>
      </c>
      <c r="B676">
        <v>1.5</v>
      </c>
      <c r="C676" s="9" t="s">
        <v>8</v>
      </c>
      <c r="D676" s="9" t="s">
        <v>32</v>
      </c>
      <c r="E676" s="9">
        <v>140</v>
      </c>
      <c r="F676" s="9">
        <v>1.3660000000000001</v>
      </c>
    </row>
    <row r="677" spans="1:6" x14ac:dyDescent="0.2">
      <c r="A677" s="11" t="s">
        <v>42</v>
      </c>
      <c r="B677">
        <v>0</v>
      </c>
      <c r="C677" s="9" t="s">
        <v>6</v>
      </c>
      <c r="D677" s="9" t="s">
        <v>32</v>
      </c>
      <c r="E677" s="9">
        <v>0</v>
      </c>
      <c r="F677" s="9">
        <v>6.2E-2</v>
      </c>
    </row>
    <row r="678" spans="1:6" x14ac:dyDescent="0.2">
      <c r="A678" s="11" t="s">
        <v>42</v>
      </c>
      <c r="B678">
        <v>0</v>
      </c>
      <c r="C678" s="9" t="s">
        <v>7</v>
      </c>
      <c r="D678" s="9" t="s">
        <v>32</v>
      </c>
      <c r="E678" s="9">
        <v>0</v>
      </c>
      <c r="F678" s="9">
        <v>6.3E-2</v>
      </c>
    </row>
    <row r="679" spans="1:6" x14ac:dyDescent="0.2">
      <c r="A679" s="11" t="s">
        <v>42</v>
      </c>
      <c r="B679">
        <v>0</v>
      </c>
      <c r="C679" s="9" t="s">
        <v>8</v>
      </c>
      <c r="D679" s="9" t="s">
        <v>32</v>
      </c>
      <c r="E679" s="9">
        <v>0</v>
      </c>
      <c r="F679" s="9">
        <v>4.4999999999999998E-2</v>
      </c>
    </row>
    <row r="680" spans="1:6" x14ac:dyDescent="0.2">
      <c r="A680" s="11" t="s">
        <v>42</v>
      </c>
      <c r="B680">
        <v>0</v>
      </c>
      <c r="C680" s="9" t="s">
        <v>6</v>
      </c>
      <c r="D680" s="9" t="s">
        <v>32</v>
      </c>
      <c r="E680" s="9">
        <v>94</v>
      </c>
      <c r="F680" s="9" t="s">
        <v>29</v>
      </c>
    </row>
    <row r="681" spans="1:6" x14ac:dyDescent="0.2">
      <c r="A681" s="11" t="s">
        <v>42</v>
      </c>
      <c r="B681">
        <v>0</v>
      </c>
      <c r="C681" s="9" t="s">
        <v>7</v>
      </c>
      <c r="D681" s="9" t="s">
        <v>32</v>
      </c>
      <c r="E681" s="9">
        <v>94</v>
      </c>
      <c r="F681" s="9" t="s">
        <v>29</v>
      </c>
    </row>
    <row r="682" spans="1:6" x14ac:dyDescent="0.2">
      <c r="A682" s="11" t="s">
        <v>42</v>
      </c>
      <c r="B682">
        <v>0</v>
      </c>
      <c r="C682" s="9" t="s">
        <v>8</v>
      </c>
      <c r="D682" s="9" t="s">
        <v>32</v>
      </c>
      <c r="E682" s="9">
        <v>94</v>
      </c>
      <c r="F682" s="9" t="s">
        <v>29</v>
      </c>
    </row>
    <row r="683" spans="1:6" x14ac:dyDescent="0.2">
      <c r="A683" s="11" t="s">
        <v>42</v>
      </c>
      <c r="B683">
        <v>0</v>
      </c>
      <c r="C683" s="9" t="s">
        <v>6</v>
      </c>
      <c r="D683" s="9" t="s">
        <v>32</v>
      </c>
      <c r="E683" s="9">
        <v>140</v>
      </c>
      <c r="F683" s="9" t="s">
        <v>29</v>
      </c>
    </row>
    <row r="684" spans="1:6" x14ac:dyDescent="0.2">
      <c r="A684" s="11" t="s">
        <v>42</v>
      </c>
      <c r="B684">
        <v>0</v>
      </c>
      <c r="C684" s="9" t="s">
        <v>7</v>
      </c>
      <c r="D684" s="9" t="s">
        <v>32</v>
      </c>
      <c r="E684" s="9">
        <v>140</v>
      </c>
      <c r="F684" s="9" t="s">
        <v>29</v>
      </c>
    </row>
    <row r="685" spans="1:6" x14ac:dyDescent="0.2">
      <c r="A685" s="11" t="s">
        <v>42</v>
      </c>
      <c r="B685">
        <v>0</v>
      </c>
      <c r="C685" s="9" t="s">
        <v>8</v>
      </c>
      <c r="D685" s="9" t="s">
        <v>32</v>
      </c>
      <c r="E685" s="9">
        <v>140</v>
      </c>
      <c r="F685" s="9" t="s">
        <v>29</v>
      </c>
    </row>
    <row r="686" spans="1:6" x14ac:dyDescent="0.2">
      <c r="A686" s="11" t="s">
        <v>42</v>
      </c>
      <c r="B686">
        <v>0.25</v>
      </c>
      <c r="C686" s="9" t="s">
        <v>6</v>
      </c>
      <c r="D686" s="9" t="s">
        <v>33</v>
      </c>
      <c r="E686" s="9">
        <v>0</v>
      </c>
      <c r="F686" s="9">
        <v>5.0000000000000001E-3</v>
      </c>
    </row>
    <row r="687" spans="1:6" x14ac:dyDescent="0.2">
      <c r="A687" s="11" t="s">
        <v>42</v>
      </c>
      <c r="B687">
        <v>0.25</v>
      </c>
      <c r="C687" s="9" t="s">
        <v>7</v>
      </c>
      <c r="D687" s="9" t="s">
        <v>33</v>
      </c>
      <c r="E687" s="9">
        <v>0</v>
      </c>
      <c r="F687" s="9">
        <v>2.4E-2</v>
      </c>
    </row>
    <row r="688" spans="1:6" x14ac:dyDescent="0.2">
      <c r="A688" s="11" t="s">
        <v>42</v>
      </c>
      <c r="B688">
        <v>0.25</v>
      </c>
      <c r="C688" s="9" t="s">
        <v>8</v>
      </c>
      <c r="D688" s="9" t="s">
        <v>33</v>
      </c>
      <c r="E688" s="9">
        <v>0</v>
      </c>
      <c r="F688" s="9">
        <v>3.1E-2</v>
      </c>
    </row>
    <row r="689" spans="1:6" x14ac:dyDescent="0.2">
      <c r="A689" s="11" t="s">
        <v>42</v>
      </c>
      <c r="B689">
        <v>0.25</v>
      </c>
      <c r="C689" s="9" t="s">
        <v>6</v>
      </c>
      <c r="D689" s="9" t="s">
        <v>33</v>
      </c>
      <c r="E689" s="9">
        <v>94</v>
      </c>
      <c r="F689" s="9">
        <v>9.0999999999999998E-2</v>
      </c>
    </row>
    <row r="690" spans="1:6" x14ac:dyDescent="0.2">
      <c r="A690" s="11" t="s">
        <v>42</v>
      </c>
      <c r="B690">
        <v>0.25</v>
      </c>
      <c r="C690" s="9" t="s">
        <v>7</v>
      </c>
      <c r="D690" s="9" t="s">
        <v>33</v>
      </c>
      <c r="E690" s="9">
        <v>94</v>
      </c>
      <c r="F690" s="9">
        <v>9.2999999999999999E-2</v>
      </c>
    </row>
    <row r="691" spans="1:6" x14ac:dyDescent="0.2">
      <c r="A691" s="11" t="s">
        <v>42</v>
      </c>
      <c r="B691">
        <v>0.25</v>
      </c>
      <c r="C691" s="9" t="s">
        <v>8</v>
      </c>
      <c r="D691" s="9" t="s">
        <v>33</v>
      </c>
      <c r="E691" s="9">
        <v>94</v>
      </c>
      <c r="F691" s="9">
        <v>0.125</v>
      </c>
    </row>
    <row r="692" spans="1:6" x14ac:dyDescent="0.2">
      <c r="A692" s="11" t="s">
        <v>42</v>
      </c>
      <c r="B692">
        <v>0.25</v>
      </c>
      <c r="C692" s="9" t="s">
        <v>6</v>
      </c>
      <c r="D692" s="9" t="s">
        <v>33</v>
      </c>
      <c r="E692" s="9">
        <v>140</v>
      </c>
      <c r="F692" s="9">
        <v>0.19800000000000001</v>
      </c>
    </row>
    <row r="693" spans="1:6" x14ac:dyDescent="0.2">
      <c r="A693" s="11" t="s">
        <v>42</v>
      </c>
      <c r="B693">
        <v>0.25</v>
      </c>
      <c r="C693" s="9" t="s">
        <v>7</v>
      </c>
      <c r="D693" s="9" t="s">
        <v>33</v>
      </c>
      <c r="E693" s="9">
        <v>140</v>
      </c>
      <c r="F693" s="9">
        <v>0.24299999999999999</v>
      </c>
    </row>
    <row r="694" spans="1:6" x14ac:dyDescent="0.2">
      <c r="A694" s="11" t="s">
        <v>42</v>
      </c>
      <c r="B694">
        <v>0.25</v>
      </c>
      <c r="C694" s="9" t="s">
        <v>8</v>
      </c>
      <c r="D694" s="9" t="s">
        <v>33</v>
      </c>
      <c r="E694" s="9">
        <v>140</v>
      </c>
      <c r="F694" s="9">
        <v>0.26</v>
      </c>
    </row>
    <row r="695" spans="1:6" x14ac:dyDescent="0.2">
      <c r="A695" s="11" t="s">
        <v>42</v>
      </c>
      <c r="B695">
        <v>0.5</v>
      </c>
      <c r="C695" s="9" t="s">
        <v>6</v>
      </c>
      <c r="D695" s="9" t="s">
        <v>33</v>
      </c>
      <c r="E695" s="9">
        <v>0</v>
      </c>
      <c r="F695" s="9">
        <v>1.2999999999999999E-2</v>
      </c>
    </row>
    <row r="696" spans="1:6" x14ac:dyDescent="0.2">
      <c r="A696" s="11" t="s">
        <v>42</v>
      </c>
      <c r="B696">
        <v>0.5</v>
      </c>
      <c r="C696" s="9" t="s">
        <v>7</v>
      </c>
      <c r="D696" s="9" t="s">
        <v>33</v>
      </c>
      <c r="E696" s="9">
        <v>0</v>
      </c>
      <c r="F696" s="9" t="s">
        <v>29</v>
      </c>
    </row>
    <row r="697" spans="1:6" x14ac:dyDescent="0.2">
      <c r="A697" s="11" t="s">
        <v>42</v>
      </c>
      <c r="B697">
        <v>0.5</v>
      </c>
      <c r="C697" s="9" t="s">
        <v>8</v>
      </c>
      <c r="D697" s="9" t="s">
        <v>33</v>
      </c>
      <c r="E697" s="9">
        <v>0</v>
      </c>
      <c r="F697" s="9">
        <v>2.1999999999999999E-2</v>
      </c>
    </row>
    <row r="698" spans="1:6" x14ac:dyDescent="0.2">
      <c r="A698" s="11" t="s">
        <v>42</v>
      </c>
      <c r="B698">
        <v>0.5</v>
      </c>
      <c r="C698" s="9" t="s">
        <v>6</v>
      </c>
      <c r="D698" s="9" t="s">
        <v>33</v>
      </c>
      <c r="E698" s="9">
        <v>94</v>
      </c>
      <c r="F698" s="9">
        <v>0.113</v>
      </c>
    </row>
    <row r="699" spans="1:6" x14ac:dyDescent="0.2">
      <c r="A699" s="11" t="s">
        <v>42</v>
      </c>
      <c r="B699">
        <v>0.5</v>
      </c>
      <c r="C699" s="9" t="s">
        <v>7</v>
      </c>
      <c r="D699" s="9" t="s">
        <v>33</v>
      </c>
      <c r="E699" s="9">
        <v>94</v>
      </c>
      <c r="F699" s="9">
        <v>0.152</v>
      </c>
    </row>
    <row r="700" spans="1:6" x14ac:dyDescent="0.2">
      <c r="A700" s="11" t="s">
        <v>42</v>
      </c>
      <c r="B700">
        <v>0.5</v>
      </c>
      <c r="C700" s="9" t="s">
        <v>8</v>
      </c>
      <c r="D700" s="9" t="s">
        <v>33</v>
      </c>
      <c r="E700" s="9">
        <v>94</v>
      </c>
      <c r="F700" s="9">
        <v>0.13</v>
      </c>
    </row>
    <row r="701" spans="1:6" x14ac:dyDescent="0.2">
      <c r="A701" s="11" t="s">
        <v>42</v>
      </c>
      <c r="B701">
        <v>0.5</v>
      </c>
      <c r="C701" s="9" t="s">
        <v>6</v>
      </c>
      <c r="D701" s="9" t="s">
        <v>33</v>
      </c>
      <c r="E701" s="9">
        <v>140</v>
      </c>
      <c r="F701" s="9">
        <v>0.27800000000000002</v>
      </c>
    </row>
    <row r="702" spans="1:6" x14ac:dyDescent="0.2">
      <c r="A702" s="11" t="s">
        <v>42</v>
      </c>
      <c r="B702">
        <v>0.5</v>
      </c>
      <c r="C702" s="9" t="s">
        <v>7</v>
      </c>
      <c r="D702" s="9" t="s">
        <v>33</v>
      </c>
      <c r="E702" s="9">
        <v>140</v>
      </c>
      <c r="F702" s="9">
        <v>0.26</v>
      </c>
    </row>
    <row r="703" spans="1:6" x14ac:dyDescent="0.2">
      <c r="A703" s="11" t="s">
        <v>42</v>
      </c>
      <c r="B703">
        <v>0.5</v>
      </c>
      <c r="C703" s="9" t="s">
        <v>8</v>
      </c>
      <c r="D703" s="9" t="s">
        <v>33</v>
      </c>
      <c r="E703" s="9">
        <v>140</v>
      </c>
      <c r="F703" s="9">
        <v>0.34100000000000003</v>
      </c>
    </row>
    <row r="704" spans="1:6" x14ac:dyDescent="0.2">
      <c r="A704" s="11" t="s">
        <v>42</v>
      </c>
      <c r="B704">
        <v>1</v>
      </c>
      <c r="C704" s="9" t="s">
        <v>6</v>
      </c>
      <c r="D704" s="9" t="s">
        <v>33</v>
      </c>
      <c r="E704" s="9">
        <v>0</v>
      </c>
      <c r="F704" s="9">
        <v>3.2000000000000001E-2</v>
      </c>
    </row>
    <row r="705" spans="1:6" x14ac:dyDescent="0.2">
      <c r="A705" s="11" t="s">
        <v>42</v>
      </c>
      <c r="B705">
        <v>1</v>
      </c>
      <c r="C705" s="9" t="s">
        <v>7</v>
      </c>
      <c r="D705" s="9" t="s">
        <v>33</v>
      </c>
      <c r="E705" s="9">
        <v>0</v>
      </c>
      <c r="F705" s="9">
        <v>2.1999999999999999E-2</v>
      </c>
    </row>
    <row r="706" spans="1:6" x14ac:dyDescent="0.2">
      <c r="A706" s="11" t="s">
        <v>42</v>
      </c>
      <c r="B706">
        <v>1</v>
      </c>
      <c r="C706" s="9" t="s">
        <v>8</v>
      </c>
      <c r="D706" s="9" t="s">
        <v>33</v>
      </c>
      <c r="E706" s="9">
        <v>0</v>
      </c>
      <c r="F706" s="9">
        <v>0.02</v>
      </c>
    </row>
    <row r="707" spans="1:6" x14ac:dyDescent="0.2">
      <c r="A707" s="11" t="s">
        <v>42</v>
      </c>
      <c r="B707">
        <v>1</v>
      </c>
      <c r="C707" s="9" t="s">
        <v>6</v>
      </c>
      <c r="D707" s="9" t="s">
        <v>33</v>
      </c>
      <c r="E707" s="9">
        <v>94</v>
      </c>
      <c r="F707" s="9">
        <v>0.183</v>
      </c>
    </row>
    <row r="708" spans="1:6" x14ac:dyDescent="0.2">
      <c r="A708" s="11" t="s">
        <v>42</v>
      </c>
      <c r="B708">
        <v>1</v>
      </c>
      <c r="C708" s="9" t="s">
        <v>7</v>
      </c>
      <c r="D708" s="9" t="s">
        <v>33</v>
      </c>
      <c r="E708" s="9">
        <v>94</v>
      </c>
      <c r="F708" s="9">
        <v>0.10299999999999999</v>
      </c>
    </row>
    <row r="709" spans="1:6" x14ac:dyDescent="0.2">
      <c r="A709" s="11" t="s">
        <v>42</v>
      </c>
      <c r="B709">
        <v>1</v>
      </c>
      <c r="C709" s="9" t="s">
        <v>8</v>
      </c>
      <c r="D709" s="9" t="s">
        <v>33</v>
      </c>
      <c r="E709" s="9">
        <v>94</v>
      </c>
      <c r="F709" s="9">
        <v>0.154</v>
      </c>
    </row>
    <row r="710" spans="1:6" x14ac:dyDescent="0.2">
      <c r="A710" s="11" t="s">
        <v>42</v>
      </c>
      <c r="B710">
        <v>1</v>
      </c>
      <c r="C710" s="9" t="s">
        <v>6</v>
      </c>
      <c r="D710" s="9" t="s">
        <v>33</v>
      </c>
      <c r="E710" s="9">
        <v>140</v>
      </c>
      <c r="F710" s="9">
        <v>0.16600000000000001</v>
      </c>
    </row>
    <row r="711" spans="1:6" x14ac:dyDescent="0.2">
      <c r="A711" s="11" t="s">
        <v>42</v>
      </c>
      <c r="B711">
        <v>1</v>
      </c>
      <c r="C711" s="9" t="s">
        <v>7</v>
      </c>
      <c r="D711" s="9" t="s">
        <v>33</v>
      </c>
      <c r="E711" s="9">
        <v>140</v>
      </c>
      <c r="F711" s="9">
        <v>0.155</v>
      </c>
    </row>
    <row r="712" spans="1:6" x14ac:dyDescent="0.2">
      <c r="A712" s="11" t="s">
        <v>42</v>
      </c>
      <c r="B712">
        <v>1</v>
      </c>
      <c r="C712" s="9" t="s">
        <v>8</v>
      </c>
      <c r="D712" s="9" t="s">
        <v>33</v>
      </c>
      <c r="E712" s="9">
        <v>140</v>
      </c>
      <c r="F712" s="9">
        <v>0.16400000000000001</v>
      </c>
    </row>
    <row r="713" spans="1:6" x14ac:dyDescent="0.2">
      <c r="A713" s="11" t="s">
        <v>42</v>
      </c>
      <c r="B713">
        <v>1.5</v>
      </c>
      <c r="C713" s="9" t="s">
        <v>6</v>
      </c>
      <c r="D713" s="9" t="s">
        <v>33</v>
      </c>
      <c r="E713" s="9">
        <v>0</v>
      </c>
      <c r="F713" s="9">
        <v>3.2000000000000001E-2</v>
      </c>
    </row>
    <row r="714" spans="1:6" x14ac:dyDescent="0.2">
      <c r="A714" s="11" t="s">
        <v>42</v>
      </c>
      <c r="B714">
        <v>1.5</v>
      </c>
      <c r="C714" s="9" t="s">
        <v>7</v>
      </c>
      <c r="D714" s="9" t="s">
        <v>33</v>
      </c>
      <c r="E714" s="9">
        <v>0</v>
      </c>
      <c r="F714" s="9" t="s">
        <v>29</v>
      </c>
    </row>
    <row r="715" spans="1:6" x14ac:dyDescent="0.2">
      <c r="A715" s="11" t="s">
        <v>42</v>
      </c>
      <c r="B715">
        <v>1.5</v>
      </c>
      <c r="C715" s="9" t="s">
        <v>8</v>
      </c>
      <c r="D715" s="9" t="s">
        <v>33</v>
      </c>
      <c r="E715" s="9">
        <v>0</v>
      </c>
      <c r="F715" s="9" t="s">
        <v>29</v>
      </c>
    </row>
    <row r="716" spans="1:6" x14ac:dyDescent="0.2">
      <c r="A716" s="11" t="s">
        <v>42</v>
      </c>
      <c r="B716">
        <v>1.5</v>
      </c>
      <c r="C716" s="9" t="s">
        <v>6</v>
      </c>
      <c r="D716" s="9" t="s">
        <v>33</v>
      </c>
      <c r="E716" s="9">
        <v>94</v>
      </c>
      <c r="F716" s="9">
        <v>0.23400000000000001</v>
      </c>
    </row>
    <row r="717" spans="1:6" x14ac:dyDescent="0.2">
      <c r="A717" s="11" t="s">
        <v>42</v>
      </c>
      <c r="B717">
        <v>1.5</v>
      </c>
      <c r="C717" s="9" t="s">
        <v>7</v>
      </c>
      <c r="D717" s="9" t="s">
        <v>33</v>
      </c>
      <c r="E717" s="9">
        <v>94</v>
      </c>
      <c r="F717" s="9">
        <v>0.17199999999999999</v>
      </c>
    </row>
    <row r="718" spans="1:6" x14ac:dyDescent="0.2">
      <c r="A718" s="11" t="s">
        <v>42</v>
      </c>
      <c r="B718">
        <v>1.5</v>
      </c>
      <c r="C718" s="9" t="s">
        <v>8</v>
      </c>
      <c r="D718" s="9" t="s">
        <v>33</v>
      </c>
      <c r="E718" s="9">
        <v>94</v>
      </c>
      <c r="F718" s="9">
        <v>0.28499999999999998</v>
      </c>
    </row>
    <row r="719" spans="1:6" x14ac:dyDescent="0.2">
      <c r="A719" s="11" t="s">
        <v>42</v>
      </c>
      <c r="B719">
        <v>1.5</v>
      </c>
      <c r="C719" s="9" t="s">
        <v>6</v>
      </c>
      <c r="D719" s="9" t="s">
        <v>33</v>
      </c>
      <c r="E719" s="9">
        <v>140</v>
      </c>
      <c r="F719" s="9">
        <v>0.28899999999999998</v>
      </c>
    </row>
    <row r="720" spans="1:6" x14ac:dyDescent="0.2">
      <c r="A720" s="11" t="s">
        <v>42</v>
      </c>
      <c r="B720">
        <v>1.5</v>
      </c>
      <c r="C720" s="9" t="s">
        <v>7</v>
      </c>
      <c r="D720" s="9" t="s">
        <v>33</v>
      </c>
      <c r="E720" s="9">
        <v>140</v>
      </c>
      <c r="F720" s="9">
        <v>0.24</v>
      </c>
    </row>
    <row r="721" spans="1:6" x14ac:dyDescent="0.2">
      <c r="A721" s="11" t="s">
        <v>42</v>
      </c>
      <c r="B721">
        <v>1.5</v>
      </c>
      <c r="C721" s="9" t="s">
        <v>8</v>
      </c>
      <c r="D721" s="9" t="s">
        <v>33</v>
      </c>
      <c r="E721" s="9">
        <v>140</v>
      </c>
      <c r="F721" s="9">
        <v>0.33800000000000002</v>
      </c>
    </row>
    <row r="722" spans="1:6" x14ac:dyDescent="0.2">
      <c r="A722" s="11" t="s">
        <v>42</v>
      </c>
      <c r="B722">
        <v>0</v>
      </c>
      <c r="C722" s="9" t="s">
        <v>6</v>
      </c>
      <c r="D722" s="9" t="s">
        <v>33</v>
      </c>
      <c r="E722" s="9">
        <v>0</v>
      </c>
      <c r="F722" s="9">
        <v>1.9E-2</v>
      </c>
    </row>
    <row r="723" spans="1:6" x14ac:dyDescent="0.2">
      <c r="A723" s="11" t="s">
        <v>42</v>
      </c>
      <c r="B723">
        <v>0</v>
      </c>
      <c r="C723" s="9" t="s">
        <v>7</v>
      </c>
      <c r="D723" s="9" t="s">
        <v>33</v>
      </c>
      <c r="E723" s="9">
        <v>0</v>
      </c>
      <c r="F723" s="9" t="s">
        <v>29</v>
      </c>
    </row>
    <row r="724" spans="1:6" x14ac:dyDescent="0.2">
      <c r="A724" s="11" t="s">
        <v>42</v>
      </c>
      <c r="B724">
        <v>0</v>
      </c>
      <c r="C724" s="9" t="s">
        <v>8</v>
      </c>
      <c r="D724" s="9" t="s">
        <v>33</v>
      </c>
      <c r="E724" s="9">
        <v>0</v>
      </c>
      <c r="F724" s="9">
        <v>1.7999999999999999E-2</v>
      </c>
    </row>
    <row r="725" spans="1:6" x14ac:dyDescent="0.2">
      <c r="A725" s="11" t="s">
        <v>42</v>
      </c>
      <c r="B725">
        <v>0</v>
      </c>
      <c r="C725" s="9" t="s">
        <v>6</v>
      </c>
      <c r="D725" s="9" t="s">
        <v>33</v>
      </c>
      <c r="E725" s="9">
        <v>94</v>
      </c>
      <c r="F725" s="9">
        <v>0.84399999999999997</v>
      </c>
    </row>
    <row r="726" spans="1:6" x14ac:dyDescent="0.2">
      <c r="A726" s="11" t="s">
        <v>42</v>
      </c>
      <c r="B726">
        <v>0</v>
      </c>
      <c r="C726" s="9" t="s">
        <v>7</v>
      </c>
      <c r="D726" s="9" t="s">
        <v>33</v>
      </c>
      <c r="E726" s="9">
        <v>94</v>
      </c>
      <c r="F726" s="9">
        <v>1.149</v>
      </c>
    </row>
    <row r="727" spans="1:6" x14ac:dyDescent="0.2">
      <c r="A727" s="11" t="s">
        <v>42</v>
      </c>
      <c r="B727">
        <v>0</v>
      </c>
      <c r="C727" s="9" t="s">
        <v>8</v>
      </c>
      <c r="D727" s="9" t="s">
        <v>33</v>
      </c>
      <c r="E727" s="9">
        <v>94</v>
      </c>
      <c r="F727" s="9">
        <v>1.1299999999999999</v>
      </c>
    </row>
    <row r="728" spans="1:6" x14ac:dyDescent="0.2">
      <c r="A728" s="11" t="s">
        <v>42</v>
      </c>
      <c r="B728">
        <v>0</v>
      </c>
      <c r="C728" s="9" t="s">
        <v>6</v>
      </c>
      <c r="D728" s="9" t="s">
        <v>33</v>
      </c>
      <c r="E728" s="9">
        <v>140</v>
      </c>
      <c r="F728" s="9">
        <v>1.016</v>
      </c>
    </row>
    <row r="729" spans="1:6" x14ac:dyDescent="0.2">
      <c r="A729" s="11" t="s">
        <v>42</v>
      </c>
      <c r="B729">
        <v>0</v>
      </c>
      <c r="C729" s="9" t="s">
        <v>7</v>
      </c>
      <c r="D729" s="9" t="s">
        <v>33</v>
      </c>
      <c r="E729" s="9">
        <v>140</v>
      </c>
      <c r="F729" s="9">
        <v>1.046</v>
      </c>
    </row>
    <row r="730" spans="1:6" x14ac:dyDescent="0.2">
      <c r="A730" s="11" t="s">
        <v>42</v>
      </c>
      <c r="B730">
        <v>0</v>
      </c>
      <c r="C730" s="9" t="s">
        <v>8</v>
      </c>
      <c r="D730" s="9" t="s">
        <v>33</v>
      </c>
      <c r="E730" s="9">
        <v>140</v>
      </c>
      <c r="F730" s="9">
        <v>1.103</v>
      </c>
    </row>
    <row r="731" spans="1:6" x14ac:dyDescent="0.2">
      <c r="A731" s="11" t="s">
        <v>42</v>
      </c>
      <c r="B731">
        <v>0.25</v>
      </c>
      <c r="C731" s="9" t="s">
        <v>6</v>
      </c>
      <c r="D731" s="9" t="s">
        <v>34</v>
      </c>
      <c r="E731" s="9">
        <v>0</v>
      </c>
      <c r="F731" s="9" t="s">
        <v>29</v>
      </c>
    </row>
    <row r="732" spans="1:6" x14ac:dyDescent="0.2">
      <c r="A732" s="11" t="s">
        <v>42</v>
      </c>
      <c r="B732">
        <v>0.25</v>
      </c>
      <c r="C732" s="9" t="s">
        <v>7</v>
      </c>
      <c r="D732" s="9" t="s">
        <v>34</v>
      </c>
      <c r="E732" s="9">
        <v>0</v>
      </c>
      <c r="F732" s="9" t="s">
        <v>29</v>
      </c>
    </row>
    <row r="733" spans="1:6" x14ac:dyDescent="0.2">
      <c r="A733" s="11" t="s">
        <v>42</v>
      </c>
      <c r="B733">
        <v>0.25</v>
      </c>
      <c r="C733" s="9" t="s">
        <v>8</v>
      </c>
      <c r="D733" s="9" t="s">
        <v>34</v>
      </c>
      <c r="E733" s="9">
        <v>0</v>
      </c>
      <c r="F733" s="9" t="s">
        <v>29</v>
      </c>
    </row>
    <row r="734" spans="1:6" x14ac:dyDescent="0.2">
      <c r="A734" s="11" t="s">
        <v>42</v>
      </c>
      <c r="B734">
        <v>0.25</v>
      </c>
      <c r="C734" s="9" t="s">
        <v>6</v>
      </c>
      <c r="D734" s="9" t="s">
        <v>34</v>
      </c>
      <c r="E734" s="9">
        <v>94</v>
      </c>
      <c r="F734" s="9" t="s">
        <v>29</v>
      </c>
    </row>
    <row r="735" spans="1:6" x14ac:dyDescent="0.2">
      <c r="A735" s="11" t="s">
        <v>42</v>
      </c>
      <c r="B735">
        <v>0.25</v>
      </c>
      <c r="C735" s="9" t="s">
        <v>7</v>
      </c>
      <c r="D735" s="9" t="s">
        <v>34</v>
      </c>
      <c r="E735" s="9">
        <v>94</v>
      </c>
      <c r="F735" s="9" t="s">
        <v>29</v>
      </c>
    </row>
    <row r="736" spans="1:6" x14ac:dyDescent="0.2">
      <c r="A736" s="11" t="s">
        <v>42</v>
      </c>
      <c r="B736">
        <v>0.25</v>
      </c>
      <c r="C736" s="9" t="s">
        <v>8</v>
      </c>
      <c r="D736" s="9" t="s">
        <v>34</v>
      </c>
      <c r="E736" s="9">
        <v>94</v>
      </c>
      <c r="F736" s="9" t="s">
        <v>29</v>
      </c>
    </row>
    <row r="737" spans="1:6" x14ac:dyDescent="0.2">
      <c r="A737" s="11" t="s">
        <v>42</v>
      </c>
      <c r="B737">
        <v>0.25</v>
      </c>
      <c r="C737" s="9" t="s">
        <v>6</v>
      </c>
      <c r="D737" s="9" t="s">
        <v>34</v>
      </c>
      <c r="E737" s="9">
        <v>140</v>
      </c>
      <c r="F737" s="9" t="s">
        <v>29</v>
      </c>
    </row>
    <row r="738" spans="1:6" x14ac:dyDescent="0.2">
      <c r="A738" s="11" t="s">
        <v>42</v>
      </c>
      <c r="B738">
        <v>0.25</v>
      </c>
      <c r="C738" s="9" t="s">
        <v>7</v>
      </c>
      <c r="D738" s="9" t="s">
        <v>34</v>
      </c>
      <c r="E738" s="9">
        <v>140</v>
      </c>
      <c r="F738" s="9" t="s">
        <v>29</v>
      </c>
    </row>
    <row r="739" spans="1:6" x14ac:dyDescent="0.2">
      <c r="A739" s="11" t="s">
        <v>42</v>
      </c>
      <c r="B739">
        <v>0.25</v>
      </c>
      <c r="C739" s="9" t="s">
        <v>8</v>
      </c>
      <c r="D739" s="9" t="s">
        <v>34</v>
      </c>
      <c r="E739" s="9">
        <v>140</v>
      </c>
      <c r="F739" s="9" t="s">
        <v>29</v>
      </c>
    </row>
    <row r="740" spans="1:6" x14ac:dyDescent="0.2">
      <c r="A740" s="11" t="s">
        <v>42</v>
      </c>
      <c r="B740">
        <v>0.5</v>
      </c>
      <c r="C740" s="9" t="s">
        <v>6</v>
      </c>
      <c r="D740" s="9" t="s">
        <v>34</v>
      </c>
      <c r="E740" s="9">
        <v>0</v>
      </c>
      <c r="F740" s="9" t="s">
        <v>29</v>
      </c>
    </row>
    <row r="741" spans="1:6" x14ac:dyDescent="0.2">
      <c r="A741" s="11" t="s">
        <v>42</v>
      </c>
      <c r="B741">
        <v>0.5</v>
      </c>
      <c r="C741" s="9" t="s">
        <v>7</v>
      </c>
      <c r="D741" s="9" t="s">
        <v>34</v>
      </c>
      <c r="E741" s="9">
        <v>0</v>
      </c>
      <c r="F741" s="9" t="s">
        <v>29</v>
      </c>
    </row>
    <row r="742" spans="1:6" x14ac:dyDescent="0.2">
      <c r="A742" s="11" t="s">
        <v>42</v>
      </c>
      <c r="B742">
        <v>0.5</v>
      </c>
      <c r="C742" s="9" t="s">
        <v>8</v>
      </c>
      <c r="D742" s="9" t="s">
        <v>34</v>
      </c>
      <c r="E742" s="9">
        <v>0</v>
      </c>
      <c r="F742" s="9" t="s">
        <v>29</v>
      </c>
    </row>
    <row r="743" spans="1:6" x14ac:dyDescent="0.2">
      <c r="A743" s="11" t="s">
        <v>42</v>
      </c>
      <c r="B743">
        <v>0.5</v>
      </c>
      <c r="C743" s="9" t="s">
        <v>6</v>
      </c>
      <c r="D743" s="9" t="s">
        <v>34</v>
      </c>
      <c r="E743" s="9">
        <v>94</v>
      </c>
      <c r="F743" s="9" t="s">
        <v>29</v>
      </c>
    </row>
    <row r="744" spans="1:6" x14ac:dyDescent="0.2">
      <c r="A744" s="11" t="s">
        <v>42</v>
      </c>
      <c r="B744">
        <v>0.5</v>
      </c>
      <c r="C744" s="9" t="s">
        <v>7</v>
      </c>
      <c r="D744" s="9" t="s">
        <v>34</v>
      </c>
      <c r="E744" s="9">
        <v>94</v>
      </c>
      <c r="F744" s="9" t="s">
        <v>29</v>
      </c>
    </row>
    <row r="745" spans="1:6" x14ac:dyDescent="0.2">
      <c r="A745" s="11" t="s">
        <v>42</v>
      </c>
      <c r="B745">
        <v>0.5</v>
      </c>
      <c r="C745" s="9" t="s">
        <v>8</v>
      </c>
      <c r="D745" s="9" t="s">
        <v>34</v>
      </c>
      <c r="E745" s="9">
        <v>94</v>
      </c>
      <c r="F745" s="9" t="s">
        <v>29</v>
      </c>
    </row>
    <row r="746" spans="1:6" x14ac:dyDescent="0.2">
      <c r="A746" s="11" t="s">
        <v>42</v>
      </c>
      <c r="B746">
        <v>0.5</v>
      </c>
      <c r="C746" s="9" t="s">
        <v>6</v>
      </c>
      <c r="D746" s="9" t="s">
        <v>34</v>
      </c>
      <c r="E746" s="9">
        <v>140</v>
      </c>
      <c r="F746" s="9" t="s">
        <v>29</v>
      </c>
    </row>
    <row r="747" spans="1:6" x14ac:dyDescent="0.2">
      <c r="A747" s="11" t="s">
        <v>42</v>
      </c>
      <c r="B747">
        <v>0.5</v>
      </c>
      <c r="C747" s="9" t="s">
        <v>7</v>
      </c>
      <c r="D747" s="9" t="s">
        <v>34</v>
      </c>
      <c r="E747" s="9">
        <v>140</v>
      </c>
      <c r="F747" s="9" t="s">
        <v>29</v>
      </c>
    </row>
    <row r="748" spans="1:6" x14ac:dyDescent="0.2">
      <c r="A748" s="11" t="s">
        <v>42</v>
      </c>
      <c r="B748">
        <v>0.5</v>
      </c>
      <c r="C748" s="9" t="s">
        <v>8</v>
      </c>
      <c r="D748" s="9" t="s">
        <v>34</v>
      </c>
      <c r="E748" s="9">
        <v>140</v>
      </c>
      <c r="F748" s="9" t="s">
        <v>29</v>
      </c>
    </row>
    <row r="749" spans="1:6" x14ac:dyDescent="0.2">
      <c r="A749" s="11" t="s">
        <v>42</v>
      </c>
      <c r="B749">
        <v>1</v>
      </c>
      <c r="C749" s="9" t="s">
        <v>6</v>
      </c>
      <c r="D749" s="9" t="s">
        <v>34</v>
      </c>
      <c r="E749" s="9">
        <v>0</v>
      </c>
      <c r="F749" s="9" t="s">
        <v>29</v>
      </c>
    </row>
    <row r="750" spans="1:6" x14ac:dyDescent="0.2">
      <c r="A750" s="11" t="s">
        <v>42</v>
      </c>
      <c r="B750">
        <v>1</v>
      </c>
      <c r="C750" s="9" t="s">
        <v>7</v>
      </c>
      <c r="D750" s="9" t="s">
        <v>34</v>
      </c>
      <c r="E750" s="9">
        <v>0</v>
      </c>
      <c r="F750" s="9" t="s">
        <v>29</v>
      </c>
    </row>
    <row r="751" spans="1:6" x14ac:dyDescent="0.2">
      <c r="A751" s="11" t="s">
        <v>42</v>
      </c>
      <c r="B751">
        <v>1</v>
      </c>
      <c r="C751" s="9" t="s">
        <v>8</v>
      </c>
      <c r="D751" s="9" t="s">
        <v>34</v>
      </c>
      <c r="E751" s="9">
        <v>0</v>
      </c>
      <c r="F751" s="9" t="s">
        <v>29</v>
      </c>
    </row>
    <row r="752" spans="1:6" x14ac:dyDescent="0.2">
      <c r="A752" s="11" t="s">
        <v>42</v>
      </c>
      <c r="B752">
        <v>1</v>
      </c>
      <c r="C752" s="9" t="s">
        <v>6</v>
      </c>
      <c r="D752" s="9" t="s">
        <v>34</v>
      </c>
      <c r="E752" s="9">
        <v>94</v>
      </c>
      <c r="F752" s="9" t="s">
        <v>29</v>
      </c>
    </row>
    <row r="753" spans="1:6" x14ac:dyDescent="0.2">
      <c r="A753" s="11" t="s">
        <v>42</v>
      </c>
      <c r="B753">
        <v>1</v>
      </c>
      <c r="C753" s="9" t="s">
        <v>7</v>
      </c>
      <c r="D753" s="9" t="s">
        <v>34</v>
      </c>
      <c r="E753" s="9">
        <v>94</v>
      </c>
      <c r="F753" s="9" t="s">
        <v>29</v>
      </c>
    </row>
    <row r="754" spans="1:6" x14ac:dyDescent="0.2">
      <c r="A754" s="11" t="s">
        <v>42</v>
      </c>
      <c r="B754">
        <v>1</v>
      </c>
      <c r="C754" s="9" t="s">
        <v>8</v>
      </c>
      <c r="D754" s="9" t="s">
        <v>34</v>
      </c>
      <c r="E754" s="9">
        <v>94</v>
      </c>
      <c r="F754" s="9" t="s">
        <v>29</v>
      </c>
    </row>
    <row r="755" spans="1:6" x14ac:dyDescent="0.2">
      <c r="A755" s="11" t="s">
        <v>42</v>
      </c>
      <c r="B755">
        <v>1</v>
      </c>
      <c r="C755" s="9" t="s">
        <v>6</v>
      </c>
      <c r="D755" s="9" t="s">
        <v>34</v>
      </c>
      <c r="E755" s="9">
        <v>140</v>
      </c>
      <c r="F755" s="9" t="s">
        <v>29</v>
      </c>
    </row>
    <row r="756" spans="1:6" x14ac:dyDescent="0.2">
      <c r="A756" s="11" t="s">
        <v>42</v>
      </c>
      <c r="B756">
        <v>1</v>
      </c>
      <c r="C756" s="9" t="s">
        <v>7</v>
      </c>
      <c r="D756" s="9" t="s">
        <v>34</v>
      </c>
      <c r="E756" s="9">
        <v>140</v>
      </c>
      <c r="F756" s="9" t="s">
        <v>29</v>
      </c>
    </row>
    <row r="757" spans="1:6" x14ac:dyDescent="0.2">
      <c r="A757" s="11" t="s">
        <v>42</v>
      </c>
      <c r="B757">
        <v>1</v>
      </c>
      <c r="C757" s="9" t="s">
        <v>8</v>
      </c>
      <c r="D757" s="9" t="s">
        <v>34</v>
      </c>
      <c r="E757" s="9">
        <v>140</v>
      </c>
      <c r="F757" s="9" t="s">
        <v>29</v>
      </c>
    </row>
    <row r="758" spans="1:6" x14ac:dyDescent="0.2">
      <c r="A758" s="11" t="s">
        <v>42</v>
      </c>
      <c r="B758">
        <v>1.5</v>
      </c>
      <c r="C758" s="9" t="s">
        <v>6</v>
      </c>
      <c r="D758" s="9" t="s">
        <v>34</v>
      </c>
      <c r="E758" s="9">
        <v>0</v>
      </c>
      <c r="F758" s="9" t="s">
        <v>29</v>
      </c>
    </row>
    <row r="759" spans="1:6" x14ac:dyDescent="0.2">
      <c r="A759" s="11" t="s">
        <v>42</v>
      </c>
      <c r="B759">
        <v>1.5</v>
      </c>
      <c r="C759" s="9" t="s">
        <v>7</v>
      </c>
      <c r="D759" s="9" t="s">
        <v>34</v>
      </c>
      <c r="E759" s="9">
        <v>0</v>
      </c>
      <c r="F759" s="9" t="s">
        <v>29</v>
      </c>
    </row>
    <row r="760" spans="1:6" x14ac:dyDescent="0.2">
      <c r="A760" s="11" t="s">
        <v>42</v>
      </c>
      <c r="B760">
        <v>1.5</v>
      </c>
      <c r="C760" s="9" t="s">
        <v>8</v>
      </c>
      <c r="D760" s="9" t="s">
        <v>34</v>
      </c>
      <c r="E760" s="9">
        <v>0</v>
      </c>
      <c r="F760" s="9" t="s">
        <v>29</v>
      </c>
    </row>
    <row r="761" spans="1:6" x14ac:dyDescent="0.2">
      <c r="A761" s="11" t="s">
        <v>42</v>
      </c>
      <c r="B761">
        <v>1.5</v>
      </c>
      <c r="C761" s="9" t="s">
        <v>6</v>
      </c>
      <c r="D761" s="9" t="s">
        <v>34</v>
      </c>
      <c r="E761" s="9">
        <v>94</v>
      </c>
      <c r="F761" s="9" t="s">
        <v>29</v>
      </c>
    </row>
    <row r="762" spans="1:6" x14ac:dyDescent="0.2">
      <c r="A762" s="11" t="s">
        <v>42</v>
      </c>
      <c r="B762">
        <v>1.5</v>
      </c>
      <c r="C762" s="9" t="s">
        <v>7</v>
      </c>
      <c r="D762" s="9" t="s">
        <v>34</v>
      </c>
      <c r="E762" s="9">
        <v>94</v>
      </c>
      <c r="F762" s="9" t="s">
        <v>29</v>
      </c>
    </row>
    <row r="763" spans="1:6" x14ac:dyDescent="0.2">
      <c r="A763" s="11" t="s">
        <v>42</v>
      </c>
      <c r="B763">
        <v>1.5</v>
      </c>
      <c r="C763" s="9" t="s">
        <v>8</v>
      </c>
      <c r="D763" s="9" t="s">
        <v>34</v>
      </c>
      <c r="E763" s="9">
        <v>94</v>
      </c>
      <c r="F763" s="9" t="s">
        <v>29</v>
      </c>
    </row>
    <row r="764" spans="1:6" x14ac:dyDescent="0.2">
      <c r="A764" s="11" t="s">
        <v>42</v>
      </c>
      <c r="B764">
        <v>1.5</v>
      </c>
      <c r="C764" s="9" t="s">
        <v>6</v>
      </c>
      <c r="D764" s="9" t="s">
        <v>34</v>
      </c>
      <c r="E764" s="9">
        <v>140</v>
      </c>
      <c r="F764" s="9" t="s">
        <v>29</v>
      </c>
    </row>
    <row r="765" spans="1:6" x14ac:dyDescent="0.2">
      <c r="A765" s="11" t="s">
        <v>42</v>
      </c>
      <c r="B765">
        <v>1.5</v>
      </c>
      <c r="C765" s="9" t="s">
        <v>7</v>
      </c>
      <c r="D765" s="9" t="s">
        <v>34</v>
      </c>
      <c r="E765" s="9">
        <v>140</v>
      </c>
      <c r="F765" s="9" t="s">
        <v>29</v>
      </c>
    </row>
    <row r="766" spans="1:6" x14ac:dyDescent="0.2">
      <c r="A766" s="11" t="s">
        <v>42</v>
      </c>
      <c r="B766">
        <v>1.5</v>
      </c>
      <c r="C766" s="9" t="s">
        <v>8</v>
      </c>
      <c r="D766" s="9" t="s">
        <v>34</v>
      </c>
      <c r="E766" s="9">
        <v>140</v>
      </c>
      <c r="F766" s="9" t="s">
        <v>29</v>
      </c>
    </row>
    <row r="767" spans="1:6" x14ac:dyDescent="0.2">
      <c r="A767" s="11" t="s">
        <v>42</v>
      </c>
      <c r="B767">
        <v>0</v>
      </c>
      <c r="C767" s="9" t="s">
        <v>6</v>
      </c>
      <c r="D767" s="9" t="s">
        <v>34</v>
      </c>
      <c r="E767" s="9">
        <v>0</v>
      </c>
      <c r="F767" s="9" t="s">
        <v>29</v>
      </c>
    </row>
    <row r="768" spans="1:6" x14ac:dyDescent="0.2">
      <c r="A768" s="11" t="s">
        <v>42</v>
      </c>
      <c r="B768">
        <v>0</v>
      </c>
      <c r="C768" s="9" t="s">
        <v>7</v>
      </c>
      <c r="D768" s="9" t="s">
        <v>34</v>
      </c>
      <c r="E768" s="9">
        <v>0</v>
      </c>
      <c r="F768" s="9" t="s">
        <v>29</v>
      </c>
    </row>
    <row r="769" spans="1:9" x14ac:dyDescent="0.2">
      <c r="A769" s="11" t="s">
        <v>42</v>
      </c>
      <c r="B769">
        <v>0</v>
      </c>
      <c r="C769" s="9" t="s">
        <v>8</v>
      </c>
      <c r="D769" s="9" t="s">
        <v>34</v>
      </c>
      <c r="E769" s="9">
        <v>0</v>
      </c>
      <c r="F769" s="9" t="s">
        <v>29</v>
      </c>
    </row>
    <row r="770" spans="1:9" x14ac:dyDescent="0.2">
      <c r="A770" s="11" t="s">
        <v>42</v>
      </c>
      <c r="B770">
        <v>0</v>
      </c>
      <c r="C770" s="9" t="s">
        <v>6</v>
      </c>
      <c r="D770" s="9" t="s">
        <v>34</v>
      </c>
      <c r="E770" s="9">
        <v>94</v>
      </c>
      <c r="F770" s="9" t="s">
        <v>29</v>
      </c>
    </row>
    <row r="771" spans="1:9" x14ac:dyDescent="0.2">
      <c r="A771" s="11" t="s">
        <v>42</v>
      </c>
      <c r="B771">
        <v>0</v>
      </c>
      <c r="C771" s="9" t="s">
        <v>7</v>
      </c>
      <c r="D771" s="9" t="s">
        <v>34</v>
      </c>
      <c r="E771" s="9">
        <v>94</v>
      </c>
      <c r="F771" s="9" t="s">
        <v>29</v>
      </c>
    </row>
    <row r="772" spans="1:9" x14ac:dyDescent="0.2">
      <c r="A772" s="11" t="s">
        <v>42</v>
      </c>
      <c r="B772">
        <v>0</v>
      </c>
      <c r="C772" s="9" t="s">
        <v>8</v>
      </c>
      <c r="D772" s="9" t="s">
        <v>34</v>
      </c>
      <c r="E772" s="9">
        <v>94</v>
      </c>
      <c r="F772" s="9" t="s">
        <v>29</v>
      </c>
    </row>
    <row r="773" spans="1:9" x14ac:dyDescent="0.2">
      <c r="A773" s="11" t="s">
        <v>42</v>
      </c>
      <c r="B773">
        <v>0</v>
      </c>
      <c r="C773" s="9" t="s">
        <v>6</v>
      </c>
      <c r="D773" s="9" t="s">
        <v>34</v>
      </c>
      <c r="E773" s="9">
        <v>140</v>
      </c>
      <c r="F773" s="9" t="s">
        <v>29</v>
      </c>
    </row>
    <row r="774" spans="1:9" x14ac:dyDescent="0.2">
      <c r="A774" s="11" t="s">
        <v>42</v>
      </c>
      <c r="B774">
        <v>0</v>
      </c>
      <c r="C774" s="9" t="s">
        <v>7</v>
      </c>
      <c r="D774" s="9" t="s">
        <v>34</v>
      </c>
      <c r="E774" s="9">
        <v>140</v>
      </c>
      <c r="F774" s="9" t="s">
        <v>29</v>
      </c>
    </row>
    <row r="775" spans="1:9" x14ac:dyDescent="0.2">
      <c r="A775" s="11" t="s">
        <v>42</v>
      </c>
      <c r="B775">
        <v>0</v>
      </c>
      <c r="C775" s="9" t="s">
        <v>8</v>
      </c>
      <c r="D775" s="9" t="s">
        <v>34</v>
      </c>
      <c r="E775" s="9">
        <v>140</v>
      </c>
      <c r="F775" s="9" t="s">
        <v>29</v>
      </c>
    </row>
    <row r="776" spans="1:9" x14ac:dyDescent="0.2">
      <c r="A776" s="11" t="s">
        <v>42</v>
      </c>
      <c r="B776">
        <v>0.25</v>
      </c>
      <c r="C776" s="9" t="s">
        <v>6</v>
      </c>
      <c r="D776" s="9" t="s">
        <v>35</v>
      </c>
      <c r="E776" s="9">
        <v>0</v>
      </c>
      <c r="F776" s="9" t="s">
        <v>29</v>
      </c>
    </row>
    <row r="777" spans="1:9" x14ac:dyDescent="0.2">
      <c r="A777" s="11" t="s">
        <v>42</v>
      </c>
      <c r="B777">
        <v>0.25</v>
      </c>
      <c r="C777" s="9" t="s">
        <v>7</v>
      </c>
      <c r="D777" s="9" t="s">
        <v>35</v>
      </c>
      <c r="E777" s="9">
        <v>0</v>
      </c>
      <c r="F777" s="9" t="s">
        <v>29</v>
      </c>
    </row>
    <row r="778" spans="1:9" x14ac:dyDescent="0.2">
      <c r="A778" s="11" t="s">
        <v>42</v>
      </c>
      <c r="B778">
        <v>0.25</v>
      </c>
      <c r="C778" s="9" t="s">
        <v>8</v>
      </c>
      <c r="D778" s="9" t="s">
        <v>35</v>
      </c>
      <c r="E778" s="9">
        <v>0</v>
      </c>
      <c r="F778" s="9" t="s">
        <v>29</v>
      </c>
    </row>
    <row r="779" spans="1:9" x14ac:dyDescent="0.2">
      <c r="A779" s="11" t="s">
        <v>42</v>
      </c>
      <c r="B779">
        <v>0.25</v>
      </c>
      <c r="C779" s="9" t="s">
        <v>6</v>
      </c>
      <c r="D779" s="9" t="s">
        <v>35</v>
      </c>
      <c r="E779" s="9">
        <v>94</v>
      </c>
      <c r="F779" s="9" t="s">
        <v>29</v>
      </c>
    </row>
    <row r="780" spans="1:9" x14ac:dyDescent="0.2">
      <c r="A780" s="11" t="s">
        <v>42</v>
      </c>
      <c r="B780">
        <v>0.25</v>
      </c>
      <c r="C780" s="9" t="s">
        <v>7</v>
      </c>
      <c r="D780" s="9" t="s">
        <v>35</v>
      </c>
      <c r="E780" s="9">
        <v>94</v>
      </c>
      <c r="F780" s="9" t="s">
        <v>29</v>
      </c>
      <c r="G780" s="9"/>
      <c r="H780" s="9"/>
      <c r="I780" s="9"/>
    </row>
    <row r="781" spans="1:9" x14ac:dyDescent="0.2">
      <c r="A781" s="11" t="s">
        <v>42</v>
      </c>
      <c r="B781">
        <v>0.25</v>
      </c>
      <c r="C781" s="9" t="s">
        <v>8</v>
      </c>
      <c r="D781" s="9" t="s">
        <v>35</v>
      </c>
      <c r="E781" s="9">
        <v>94</v>
      </c>
      <c r="F781" s="9" t="s">
        <v>29</v>
      </c>
    </row>
    <row r="782" spans="1:9" x14ac:dyDescent="0.2">
      <c r="A782" s="11" t="s">
        <v>42</v>
      </c>
      <c r="B782">
        <v>0.25</v>
      </c>
      <c r="C782" s="9" t="s">
        <v>6</v>
      </c>
      <c r="D782" s="9" t="s">
        <v>35</v>
      </c>
      <c r="E782" s="9">
        <v>140</v>
      </c>
      <c r="F782" s="9" t="s">
        <v>29</v>
      </c>
    </row>
    <row r="783" spans="1:9" x14ac:dyDescent="0.2">
      <c r="A783" s="11" t="s">
        <v>42</v>
      </c>
      <c r="B783">
        <v>0.25</v>
      </c>
      <c r="C783" s="9" t="s">
        <v>7</v>
      </c>
      <c r="D783" s="9" t="s">
        <v>35</v>
      </c>
      <c r="E783" s="9">
        <v>140</v>
      </c>
      <c r="F783" s="9" t="s">
        <v>29</v>
      </c>
    </row>
    <row r="784" spans="1:9" x14ac:dyDescent="0.2">
      <c r="A784" s="11" t="s">
        <v>42</v>
      </c>
      <c r="B784">
        <v>0.25</v>
      </c>
      <c r="C784" s="9" t="s">
        <v>8</v>
      </c>
      <c r="D784" s="9" t="s">
        <v>35</v>
      </c>
      <c r="E784" s="9">
        <v>140</v>
      </c>
      <c r="F784" s="9" t="s">
        <v>29</v>
      </c>
    </row>
    <row r="785" spans="1:6" x14ac:dyDescent="0.2">
      <c r="A785" s="11" t="s">
        <v>42</v>
      </c>
      <c r="B785">
        <v>0.5</v>
      </c>
      <c r="C785" s="9" t="s">
        <v>6</v>
      </c>
      <c r="D785" s="9" t="s">
        <v>35</v>
      </c>
      <c r="E785" s="9">
        <v>0</v>
      </c>
      <c r="F785" s="9" t="s">
        <v>29</v>
      </c>
    </row>
    <row r="786" spans="1:6" x14ac:dyDescent="0.2">
      <c r="A786" s="11" t="s">
        <v>42</v>
      </c>
      <c r="B786">
        <v>0.5</v>
      </c>
      <c r="C786" s="9" t="s">
        <v>7</v>
      </c>
      <c r="D786" s="9" t="s">
        <v>35</v>
      </c>
      <c r="E786" s="9">
        <v>0</v>
      </c>
      <c r="F786" s="9" t="s">
        <v>29</v>
      </c>
    </row>
    <row r="787" spans="1:6" x14ac:dyDescent="0.2">
      <c r="A787" s="11" t="s">
        <v>42</v>
      </c>
      <c r="B787">
        <v>0.5</v>
      </c>
      <c r="C787" s="9" t="s">
        <v>8</v>
      </c>
      <c r="D787" s="9" t="s">
        <v>35</v>
      </c>
      <c r="E787" s="9">
        <v>0</v>
      </c>
      <c r="F787" s="9" t="s">
        <v>29</v>
      </c>
    </row>
    <row r="788" spans="1:6" x14ac:dyDescent="0.2">
      <c r="A788" s="11" t="s">
        <v>42</v>
      </c>
      <c r="B788">
        <v>0.5</v>
      </c>
      <c r="C788" s="9" t="s">
        <v>6</v>
      </c>
      <c r="D788" s="9" t="s">
        <v>35</v>
      </c>
      <c r="E788" s="9">
        <v>94</v>
      </c>
      <c r="F788" s="9" t="s">
        <v>29</v>
      </c>
    </row>
    <row r="789" spans="1:6" x14ac:dyDescent="0.2">
      <c r="A789" s="11" t="s">
        <v>42</v>
      </c>
      <c r="B789">
        <v>0.5</v>
      </c>
      <c r="C789" s="9" t="s">
        <v>7</v>
      </c>
      <c r="D789" s="9" t="s">
        <v>35</v>
      </c>
      <c r="E789" s="9">
        <v>94</v>
      </c>
      <c r="F789" s="9" t="s">
        <v>29</v>
      </c>
    </row>
    <row r="790" spans="1:6" x14ac:dyDescent="0.2">
      <c r="A790" s="11" t="s">
        <v>42</v>
      </c>
      <c r="B790">
        <v>0.5</v>
      </c>
      <c r="C790" s="9" t="s">
        <v>8</v>
      </c>
      <c r="D790" s="9" t="s">
        <v>35</v>
      </c>
      <c r="E790" s="9">
        <v>94</v>
      </c>
      <c r="F790" s="9" t="s">
        <v>29</v>
      </c>
    </row>
    <row r="791" spans="1:6" x14ac:dyDescent="0.2">
      <c r="A791" s="11" t="s">
        <v>42</v>
      </c>
      <c r="B791">
        <v>0.5</v>
      </c>
      <c r="C791" s="9" t="s">
        <v>6</v>
      </c>
      <c r="D791" s="9" t="s">
        <v>35</v>
      </c>
      <c r="E791" s="9">
        <v>140</v>
      </c>
      <c r="F791" s="9" t="s">
        <v>29</v>
      </c>
    </row>
    <row r="792" spans="1:6" x14ac:dyDescent="0.2">
      <c r="A792" s="11" t="s">
        <v>42</v>
      </c>
      <c r="B792">
        <v>0.5</v>
      </c>
      <c r="C792" s="9" t="s">
        <v>7</v>
      </c>
      <c r="D792" s="9" t="s">
        <v>35</v>
      </c>
      <c r="E792" s="9">
        <v>140</v>
      </c>
      <c r="F792" s="9" t="s">
        <v>29</v>
      </c>
    </row>
    <row r="793" spans="1:6" x14ac:dyDescent="0.2">
      <c r="A793" s="11" t="s">
        <v>42</v>
      </c>
      <c r="B793">
        <v>0.5</v>
      </c>
      <c r="C793" s="9" t="s">
        <v>8</v>
      </c>
      <c r="D793" s="9" t="s">
        <v>35</v>
      </c>
      <c r="E793" s="9">
        <v>140</v>
      </c>
      <c r="F793" s="9" t="s">
        <v>29</v>
      </c>
    </row>
    <row r="794" spans="1:6" x14ac:dyDescent="0.2">
      <c r="A794" s="11" t="s">
        <v>42</v>
      </c>
      <c r="B794">
        <v>1</v>
      </c>
      <c r="C794" s="9" t="s">
        <v>6</v>
      </c>
      <c r="D794" s="9" t="s">
        <v>35</v>
      </c>
      <c r="E794" s="9">
        <v>0</v>
      </c>
      <c r="F794" s="9" t="s">
        <v>29</v>
      </c>
    </row>
    <row r="795" spans="1:6" x14ac:dyDescent="0.2">
      <c r="A795" s="11" t="s">
        <v>42</v>
      </c>
      <c r="B795">
        <v>1</v>
      </c>
      <c r="C795" s="9" t="s">
        <v>7</v>
      </c>
      <c r="D795" s="9" t="s">
        <v>35</v>
      </c>
      <c r="E795" s="9">
        <v>0</v>
      </c>
      <c r="F795" s="9" t="s">
        <v>29</v>
      </c>
    </row>
    <row r="796" spans="1:6" x14ac:dyDescent="0.2">
      <c r="A796" s="11" t="s">
        <v>42</v>
      </c>
      <c r="B796">
        <v>1</v>
      </c>
      <c r="C796" s="9" t="s">
        <v>8</v>
      </c>
      <c r="D796" s="9" t="s">
        <v>35</v>
      </c>
      <c r="E796" s="9">
        <v>0</v>
      </c>
      <c r="F796" s="9" t="s">
        <v>29</v>
      </c>
    </row>
    <row r="797" spans="1:6" x14ac:dyDescent="0.2">
      <c r="A797" s="11" t="s">
        <v>42</v>
      </c>
      <c r="B797">
        <v>1</v>
      </c>
      <c r="C797" s="9" t="s">
        <v>6</v>
      </c>
      <c r="D797" s="9" t="s">
        <v>35</v>
      </c>
      <c r="E797" s="9">
        <v>94</v>
      </c>
      <c r="F797" s="9" t="s">
        <v>29</v>
      </c>
    </row>
    <row r="798" spans="1:6" x14ac:dyDescent="0.2">
      <c r="A798" s="11" t="s">
        <v>42</v>
      </c>
      <c r="B798">
        <v>1</v>
      </c>
      <c r="C798" s="9" t="s">
        <v>7</v>
      </c>
      <c r="D798" s="9" t="s">
        <v>35</v>
      </c>
      <c r="E798" s="9">
        <v>94</v>
      </c>
      <c r="F798" s="9" t="s">
        <v>29</v>
      </c>
    </row>
    <row r="799" spans="1:6" x14ac:dyDescent="0.2">
      <c r="A799" s="11" t="s">
        <v>42</v>
      </c>
      <c r="B799">
        <v>1</v>
      </c>
      <c r="C799" s="9" t="s">
        <v>8</v>
      </c>
      <c r="D799" s="9" t="s">
        <v>35</v>
      </c>
      <c r="E799" s="9">
        <v>94</v>
      </c>
      <c r="F799" s="9" t="s">
        <v>29</v>
      </c>
    </row>
    <row r="800" spans="1:6" x14ac:dyDescent="0.2">
      <c r="A800" s="11" t="s">
        <v>42</v>
      </c>
      <c r="B800">
        <v>1</v>
      </c>
      <c r="C800" s="9" t="s">
        <v>6</v>
      </c>
      <c r="D800" s="9" t="s">
        <v>35</v>
      </c>
      <c r="E800" s="9">
        <v>140</v>
      </c>
      <c r="F800" s="9" t="s">
        <v>29</v>
      </c>
    </row>
    <row r="801" spans="1:6" x14ac:dyDescent="0.2">
      <c r="A801" s="11" t="s">
        <v>42</v>
      </c>
      <c r="B801">
        <v>1</v>
      </c>
      <c r="C801" s="9" t="s">
        <v>7</v>
      </c>
      <c r="D801" s="9" t="s">
        <v>35</v>
      </c>
      <c r="E801" s="9">
        <v>140</v>
      </c>
      <c r="F801" s="9" t="s">
        <v>29</v>
      </c>
    </row>
    <row r="802" spans="1:6" x14ac:dyDescent="0.2">
      <c r="A802" s="11" t="s">
        <v>42</v>
      </c>
      <c r="B802">
        <v>1</v>
      </c>
      <c r="C802" s="9" t="s">
        <v>8</v>
      </c>
      <c r="D802" s="9" t="s">
        <v>35</v>
      </c>
      <c r="E802" s="9">
        <v>140</v>
      </c>
      <c r="F802" s="9" t="s">
        <v>29</v>
      </c>
    </row>
    <row r="803" spans="1:6" x14ac:dyDescent="0.2">
      <c r="A803" s="11" t="s">
        <v>42</v>
      </c>
      <c r="B803">
        <v>1.5</v>
      </c>
      <c r="C803" s="9" t="s">
        <v>6</v>
      </c>
      <c r="D803" s="9" t="s">
        <v>35</v>
      </c>
      <c r="E803" s="9">
        <v>0</v>
      </c>
      <c r="F803" s="9" t="s">
        <v>29</v>
      </c>
    </row>
    <row r="804" spans="1:6" x14ac:dyDescent="0.2">
      <c r="A804" s="11" t="s">
        <v>42</v>
      </c>
      <c r="B804">
        <v>1.5</v>
      </c>
      <c r="C804" s="9" t="s">
        <v>7</v>
      </c>
      <c r="D804" s="9" t="s">
        <v>35</v>
      </c>
      <c r="E804" s="9">
        <v>0</v>
      </c>
      <c r="F804" s="9" t="s">
        <v>29</v>
      </c>
    </row>
    <row r="805" spans="1:6" x14ac:dyDescent="0.2">
      <c r="A805" s="11" t="s">
        <v>42</v>
      </c>
      <c r="B805">
        <v>1.5</v>
      </c>
      <c r="C805" s="9" t="s">
        <v>8</v>
      </c>
      <c r="D805" s="9" t="s">
        <v>35</v>
      </c>
      <c r="E805" s="9">
        <v>0</v>
      </c>
      <c r="F805" s="9" t="s">
        <v>29</v>
      </c>
    </row>
    <row r="806" spans="1:6" x14ac:dyDescent="0.2">
      <c r="A806" s="11" t="s">
        <v>42</v>
      </c>
      <c r="B806">
        <v>1.5</v>
      </c>
      <c r="C806" s="9" t="s">
        <v>6</v>
      </c>
      <c r="D806" s="9" t="s">
        <v>35</v>
      </c>
      <c r="E806" s="9">
        <v>94</v>
      </c>
      <c r="F806" s="9" t="s">
        <v>29</v>
      </c>
    </row>
    <row r="807" spans="1:6" x14ac:dyDescent="0.2">
      <c r="A807" s="11" t="s">
        <v>42</v>
      </c>
      <c r="B807">
        <v>1.5</v>
      </c>
      <c r="C807" s="9" t="s">
        <v>7</v>
      </c>
      <c r="D807" s="9" t="s">
        <v>35</v>
      </c>
      <c r="E807" s="9">
        <v>94</v>
      </c>
      <c r="F807" s="9" t="s">
        <v>29</v>
      </c>
    </row>
    <row r="808" spans="1:6" x14ac:dyDescent="0.2">
      <c r="A808" s="11" t="s">
        <v>42</v>
      </c>
      <c r="B808">
        <v>1.5</v>
      </c>
      <c r="C808" s="9" t="s">
        <v>8</v>
      </c>
      <c r="D808" s="9" t="s">
        <v>35</v>
      </c>
      <c r="E808" s="9">
        <v>94</v>
      </c>
      <c r="F808" s="9" t="s">
        <v>29</v>
      </c>
    </row>
    <row r="809" spans="1:6" x14ac:dyDescent="0.2">
      <c r="A809" s="11" t="s">
        <v>42</v>
      </c>
      <c r="B809">
        <v>1.5</v>
      </c>
      <c r="C809" s="9" t="s">
        <v>6</v>
      </c>
      <c r="D809" s="9" t="s">
        <v>35</v>
      </c>
      <c r="E809" s="9">
        <v>140</v>
      </c>
      <c r="F809" s="9" t="s">
        <v>29</v>
      </c>
    </row>
    <row r="810" spans="1:6" x14ac:dyDescent="0.2">
      <c r="A810" s="11" t="s">
        <v>42</v>
      </c>
      <c r="B810">
        <v>1.5</v>
      </c>
      <c r="C810" s="9" t="s">
        <v>7</v>
      </c>
      <c r="D810" s="9" t="s">
        <v>35</v>
      </c>
      <c r="E810" s="9">
        <v>140</v>
      </c>
      <c r="F810" s="9" t="s">
        <v>29</v>
      </c>
    </row>
    <row r="811" spans="1:6" x14ac:dyDescent="0.2">
      <c r="A811" s="11" t="s">
        <v>42</v>
      </c>
      <c r="B811">
        <v>1.5</v>
      </c>
      <c r="C811" s="9" t="s">
        <v>8</v>
      </c>
      <c r="D811" s="9" t="s">
        <v>35</v>
      </c>
      <c r="E811" s="9">
        <v>140</v>
      </c>
      <c r="F811" s="9" t="s">
        <v>29</v>
      </c>
    </row>
    <row r="812" spans="1:6" x14ac:dyDescent="0.2">
      <c r="A812" s="11" t="s">
        <v>42</v>
      </c>
      <c r="B812">
        <v>0</v>
      </c>
      <c r="C812" s="9" t="s">
        <v>6</v>
      </c>
      <c r="D812" s="9" t="s">
        <v>35</v>
      </c>
      <c r="E812" s="9">
        <v>0</v>
      </c>
      <c r="F812" s="9" t="s">
        <v>29</v>
      </c>
    </row>
    <row r="813" spans="1:6" x14ac:dyDescent="0.2">
      <c r="A813" s="11" t="s">
        <v>42</v>
      </c>
      <c r="B813">
        <v>0</v>
      </c>
      <c r="C813" s="9" t="s">
        <v>7</v>
      </c>
      <c r="D813" s="9" t="s">
        <v>35</v>
      </c>
      <c r="E813" s="9">
        <v>0</v>
      </c>
      <c r="F813" s="9" t="s">
        <v>29</v>
      </c>
    </row>
    <row r="814" spans="1:6" x14ac:dyDescent="0.2">
      <c r="A814" s="11" t="s">
        <v>42</v>
      </c>
      <c r="B814">
        <v>0</v>
      </c>
      <c r="C814" s="9" t="s">
        <v>8</v>
      </c>
      <c r="D814" s="9" t="s">
        <v>35</v>
      </c>
      <c r="E814" s="9">
        <v>0</v>
      </c>
      <c r="F814" s="9" t="s">
        <v>29</v>
      </c>
    </row>
    <row r="815" spans="1:6" x14ac:dyDescent="0.2">
      <c r="A815" s="11" t="s">
        <v>42</v>
      </c>
      <c r="B815">
        <v>0</v>
      </c>
      <c r="C815" s="9" t="s">
        <v>6</v>
      </c>
      <c r="D815" s="9" t="s">
        <v>35</v>
      </c>
      <c r="E815" s="9">
        <v>94</v>
      </c>
      <c r="F815" s="9" t="s">
        <v>29</v>
      </c>
    </row>
    <row r="816" spans="1:6" x14ac:dyDescent="0.2">
      <c r="A816" s="11" t="s">
        <v>42</v>
      </c>
      <c r="B816">
        <v>0</v>
      </c>
      <c r="C816" s="9" t="s">
        <v>7</v>
      </c>
      <c r="D816" s="9" t="s">
        <v>35</v>
      </c>
      <c r="E816" s="9">
        <v>94</v>
      </c>
      <c r="F816" s="9" t="s">
        <v>29</v>
      </c>
    </row>
    <row r="817" spans="1:6" x14ac:dyDescent="0.2">
      <c r="A817" s="11" t="s">
        <v>42</v>
      </c>
      <c r="B817">
        <v>0</v>
      </c>
      <c r="C817" s="9" t="s">
        <v>8</v>
      </c>
      <c r="D817" s="9" t="s">
        <v>35</v>
      </c>
      <c r="E817" s="9">
        <v>94</v>
      </c>
      <c r="F817" s="9" t="s">
        <v>29</v>
      </c>
    </row>
    <row r="818" spans="1:6" x14ac:dyDescent="0.2">
      <c r="A818" s="11" t="s">
        <v>42</v>
      </c>
      <c r="B818">
        <v>0</v>
      </c>
      <c r="C818" s="9" t="s">
        <v>6</v>
      </c>
      <c r="D818" s="9" t="s">
        <v>35</v>
      </c>
      <c r="E818" s="9">
        <v>140</v>
      </c>
      <c r="F818" s="9" t="s">
        <v>29</v>
      </c>
    </row>
    <row r="819" spans="1:6" x14ac:dyDescent="0.2">
      <c r="A819" s="11" t="s">
        <v>42</v>
      </c>
      <c r="B819">
        <v>0</v>
      </c>
      <c r="C819" s="9" t="s">
        <v>7</v>
      </c>
      <c r="D819" s="9" t="s">
        <v>35</v>
      </c>
      <c r="E819" s="9">
        <v>140</v>
      </c>
      <c r="F819" s="9" t="s">
        <v>29</v>
      </c>
    </row>
    <row r="820" spans="1:6" x14ac:dyDescent="0.2">
      <c r="A820" s="11" t="s">
        <v>42</v>
      </c>
      <c r="B820">
        <v>0</v>
      </c>
      <c r="C820" s="9" t="s">
        <v>8</v>
      </c>
      <c r="D820" s="9" t="s">
        <v>35</v>
      </c>
      <c r="E820" s="9">
        <v>140</v>
      </c>
      <c r="F820" s="9" t="s">
        <v>29</v>
      </c>
    </row>
    <row r="821" spans="1:6" x14ac:dyDescent="0.2">
      <c r="A821" s="11" t="s">
        <v>42</v>
      </c>
      <c r="B821">
        <v>0.25</v>
      </c>
      <c r="C821" s="9" t="s">
        <v>6</v>
      </c>
      <c r="D821" s="9" t="s">
        <v>36</v>
      </c>
      <c r="E821" s="9">
        <v>0</v>
      </c>
      <c r="F821" s="9" t="s">
        <v>29</v>
      </c>
    </row>
    <row r="822" spans="1:6" x14ac:dyDescent="0.2">
      <c r="A822" s="11" t="s">
        <v>42</v>
      </c>
      <c r="B822">
        <v>0.25</v>
      </c>
      <c r="C822" s="9" t="s">
        <v>7</v>
      </c>
      <c r="D822" s="9" t="s">
        <v>36</v>
      </c>
      <c r="E822" s="9">
        <v>0</v>
      </c>
      <c r="F822" s="9" t="s">
        <v>29</v>
      </c>
    </row>
    <row r="823" spans="1:6" x14ac:dyDescent="0.2">
      <c r="A823" s="11" t="s">
        <v>42</v>
      </c>
      <c r="B823">
        <v>0.25</v>
      </c>
      <c r="C823" s="9" t="s">
        <v>8</v>
      </c>
      <c r="D823" s="9" t="s">
        <v>36</v>
      </c>
      <c r="E823" s="9">
        <v>0</v>
      </c>
      <c r="F823" s="9" t="s">
        <v>29</v>
      </c>
    </row>
    <row r="824" spans="1:6" x14ac:dyDescent="0.2">
      <c r="A824" s="11" t="s">
        <v>42</v>
      </c>
      <c r="B824">
        <v>0.25</v>
      </c>
      <c r="C824" s="9" t="s">
        <v>6</v>
      </c>
      <c r="D824" s="9" t="s">
        <v>36</v>
      </c>
      <c r="E824" s="9">
        <v>94</v>
      </c>
      <c r="F824" s="9">
        <v>5.4660000000000002</v>
      </c>
    </row>
    <row r="825" spans="1:6" x14ac:dyDescent="0.2">
      <c r="A825" s="11" t="s">
        <v>42</v>
      </c>
      <c r="B825">
        <v>0.25</v>
      </c>
      <c r="C825" s="9" t="s">
        <v>7</v>
      </c>
      <c r="D825" s="9" t="s">
        <v>36</v>
      </c>
      <c r="E825" s="9">
        <v>94</v>
      </c>
      <c r="F825" s="9">
        <v>5.19</v>
      </c>
    </row>
    <row r="826" spans="1:6" x14ac:dyDescent="0.2">
      <c r="A826" s="11" t="s">
        <v>42</v>
      </c>
      <c r="B826">
        <v>0.25</v>
      </c>
      <c r="C826" s="9" t="s">
        <v>8</v>
      </c>
      <c r="D826" s="9" t="s">
        <v>36</v>
      </c>
      <c r="E826" s="9">
        <v>94</v>
      </c>
      <c r="F826" s="9">
        <v>6.14</v>
      </c>
    </row>
    <row r="827" spans="1:6" x14ac:dyDescent="0.2">
      <c r="A827" s="11" t="s">
        <v>42</v>
      </c>
      <c r="B827">
        <v>0.25</v>
      </c>
      <c r="C827" s="9" t="s">
        <v>6</v>
      </c>
      <c r="D827" s="9" t="s">
        <v>36</v>
      </c>
      <c r="E827" s="9">
        <v>140</v>
      </c>
      <c r="F827" s="9">
        <v>7.2329999999999997</v>
      </c>
    </row>
    <row r="828" spans="1:6" x14ac:dyDescent="0.2">
      <c r="A828" s="11" t="s">
        <v>42</v>
      </c>
      <c r="B828">
        <v>0.25</v>
      </c>
      <c r="C828" s="9" t="s">
        <v>7</v>
      </c>
      <c r="D828" s="9" t="s">
        <v>36</v>
      </c>
      <c r="E828" s="9">
        <v>140</v>
      </c>
      <c r="F828" s="9">
        <v>6.8109999999999999</v>
      </c>
    </row>
    <row r="829" spans="1:6" x14ac:dyDescent="0.2">
      <c r="A829" s="11" t="s">
        <v>42</v>
      </c>
      <c r="B829">
        <v>0.25</v>
      </c>
      <c r="C829" s="9" t="s">
        <v>8</v>
      </c>
      <c r="D829" s="9" t="s">
        <v>36</v>
      </c>
      <c r="E829" s="9">
        <v>140</v>
      </c>
      <c r="F829" s="9">
        <v>8.1389999999999993</v>
      </c>
    </row>
    <row r="830" spans="1:6" x14ac:dyDescent="0.2">
      <c r="A830" s="11" t="s">
        <v>42</v>
      </c>
      <c r="B830">
        <v>0.5</v>
      </c>
      <c r="C830" s="9" t="s">
        <v>6</v>
      </c>
      <c r="D830" s="9" t="s">
        <v>36</v>
      </c>
      <c r="E830" s="9">
        <v>0</v>
      </c>
      <c r="F830" s="9" t="s">
        <v>29</v>
      </c>
    </row>
    <row r="831" spans="1:6" x14ac:dyDescent="0.2">
      <c r="A831" s="11" t="s">
        <v>42</v>
      </c>
      <c r="B831">
        <v>0.5</v>
      </c>
      <c r="C831" s="9" t="s">
        <v>7</v>
      </c>
      <c r="D831" s="9" t="s">
        <v>36</v>
      </c>
      <c r="E831" s="9">
        <v>0</v>
      </c>
      <c r="F831" s="9" t="s">
        <v>29</v>
      </c>
    </row>
    <row r="832" spans="1:6" x14ac:dyDescent="0.2">
      <c r="A832" s="11" t="s">
        <v>42</v>
      </c>
      <c r="B832">
        <v>0.5</v>
      </c>
      <c r="C832" s="9" t="s">
        <v>8</v>
      </c>
      <c r="D832" s="9" t="s">
        <v>36</v>
      </c>
      <c r="E832" s="9">
        <v>0</v>
      </c>
      <c r="F832" s="9" t="s">
        <v>29</v>
      </c>
    </row>
    <row r="833" spans="1:6" x14ac:dyDescent="0.2">
      <c r="A833" s="11" t="s">
        <v>42</v>
      </c>
      <c r="B833">
        <v>0.5</v>
      </c>
      <c r="C833" s="9" t="s">
        <v>6</v>
      </c>
      <c r="D833" s="9" t="s">
        <v>36</v>
      </c>
      <c r="E833" s="9">
        <v>94</v>
      </c>
      <c r="F833" s="9">
        <v>3.4180000000000001</v>
      </c>
    </row>
    <row r="834" spans="1:6" x14ac:dyDescent="0.2">
      <c r="A834" s="11" t="s">
        <v>42</v>
      </c>
      <c r="B834">
        <v>0.5</v>
      </c>
      <c r="C834" s="9" t="s">
        <v>7</v>
      </c>
      <c r="D834" s="9" t="s">
        <v>36</v>
      </c>
      <c r="E834" s="9">
        <v>94</v>
      </c>
      <c r="F834" s="9">
        <v>3.9390000000000001</v>
      </c>
    </row>
    <row r="835" spans="1:6" x14ac:dyDescent="0.2">
      <c r="A835" s="11" t="s">
        <v>42</v>
      </c>
      <c r="B835">
        <v>0.5</v>
      </c>
      <c r="C835" s="9" t="s">
        <v>8</v>
      </c>
      <c r="D835" s="9" t="s">
        <v>36</v>
      </c>
      <c r="E835" s="9">
        <v>94</v>
      </c>
      <c r="F835" s="9">
        <v>3.65</v>
      </c>
    </row>
    <row r="836" spans="1:6" x14ac:dyDescent="0.2">
      <c r="A836" s="11" t="s">
        <v>42</v>
      </c>
      <c r="B836">
        <v>0.5</v>
      </c>
      <c r="C836" s="9" t="s">
        <v>6</v>
      </c>
      <c r="D836" s="9" t="s">
        <v>36</v>
      </c>
      <c r="E836" s="9">
        <v>140</v>
      </c>
      <c r="F836" s="9">
        <v>7.3109999999999999</v>
      </c>
    </row>
    <row r="837" spans="1:6" x14ac:dyDescent="0.2">
      <c r="A837" s="11" t="s">
        <v>42</v>
      </c>
      <c r="B837">
        <v>0.5</v>
      </c>
      <c r="C837" s="9" t="s">
        <v>7</v>
      </c>
      <c r="D837" s="9" t="s">
        <v>36</v>
      </c>
      <c r="E837" s="9">
        <v>140</v>
      </c>
      <c r="F837" s="9">
        <v>5.6219999999999999</v>
      </c>
    </row>
    <row r="838" spans="1:6" x14ac:dyDescent="0.2">
      <c r="A838" s="11" t="s">
        <v>42</v>
      </c>
      <c r="B838">
        <v>0.5</v>
      </c>
      <c r="C838" s="9" t="s">
        <v>8</v>
      </c>
      <c r="D838" s="9" t="s">
        <v>36</v>
      </c>
      <c r="E838" s="9">
        <v>140</v>
      </c>
      <c r="F838" s="9">
        <v>8.06</v>
      </c>
    </row>
    <row r="839" spans="1:6" x14ac:dyDescent="0.2">
      <c r="A839" s="11" t="s">
        <v>42</v>
      </c>
      <c r="B839">
        <v>1</v>
      </c>
      <c r="C839" s="9" t="s">
        <v>6</v>
      </c>
      <c r="D839" s="9" t="s">
        <v>36</v>
      </c>
      <c r="E839" s="9">
        <v>0</v>
      </c>
      <c r="F839" s="9" t="s">
        <v>29</v>
      </c>
    </row>
    <row r="840" spans="1:6" x14ac:dyDescent="0.2">
      <c r="A840" s="11" t="s">
        <v>42</v>
      </c>
      <c r="B840">
        <v>1</v>
      </c>
      <c r="C840" s="9" t="s">
        <v>7</v>
      </c>
      <c r="D840" s="9" t="s">
        <v>36</v>
      </c>
      <c r="E840" s="9">
        <v>0</v>
      </c>
      <c r="F840" s="9" t="s">
        <v>29</v>
      </c>
    </row>
    <row r="841" spans="1:6" x14ac:dyDescent="0.2">
      <c r="A841" s="11" t="s">
        <v>42</v>
      </c>
      <c r="B841">
        <v>1</v>
      </c>
      <c r="C841" s="9" t="s">
        <v>8</v>
      </c>
      <c r="D841" s="9" t="s">
        <v>36</v>
      </c>
      <c r="E841" s="9">
        <v>0</v>
      </c>
      <c r="F841" s="9" t="s">
        <v>29</v>
      </c>
    </row>
    <row r="842" spans="1:6" x14ac:dyDescent="0.2">
      <c r="A842" s="11" t="s">
        <v>42</v>
      </c>
      <c r="B842">
        <v>1</v>
      </c>
      <c r="C842" s="9" t="s">
        <v>6</v>
      </c>
      <c r="D842" s="9" t="s">
        <v>36</v>
      </c>
      <c r="E842" s="9">
        <v>94</v>
      </c>
      <c r="F842" s="9">
        <v>0.375</v>
      </c>
    </row>
    <row r="843" spans="1:6" x14ac:dyDescent="0.2">
      <c r="A843" s="11" t="s">
        <v>42</v>
      </c>
      <c r="B843">
        <v>1</v>
      </c>
      <c r="C843" s="9" t="s">
        <v>7</v>
      </c>
      <c r="D843" s="9" t="s">
        <v>36</v>
      </c>
      <c r="E843" s="9">
        <v>94</v>
      </c>
      <c r="F843" s="9">
        <v>0.35</v>
      </c>
    </row>
    <row r="844" spans="1:6" x14ac:dyDescent="0.2">
      <c r="A844" s="11" t="s">
        <v>42</v>
      </c>
      <c r="B844">
        <v>1</v>
      </c>
      <c r="C844" s="9" t="s">
        <v>8</v>
      </c>
      <c r="D844" s="9" t="s">
        <v>36</v>
      </c>
      <c r="E844" s="9">
        <v>94</v>
      </c>
      <c r="F844" s="9">
        <v>0.36599999999999999</v>
      </c>
    </row>
    <row r="845" spans="1:6" x14ac:dyDescent="0.2">
      <c r="A845" s="11" t="s">
        <v>42</v>
      </c>
      <c r="B845">
        <v>1</v>
      </c>
      <c r="C845" s="9" t="s">
        <v>6</v>
      </c>
      <c r="D845" s="9" t="s">
        <v>36</v>
      </c>
      <c r="E845" s="9">
        <v>140</v>
      </c>
      <c r="F845" s="9">
        <v>0.39700000000000002</v>
      </c>
    </row>
    <row r="846" spans="1:6" x14ac:dyDescent="0.2">
      <c r="A846" s="11" t="s">
        <v>42</v>
      </c>
      <c r="B846">
        <v>1</v>
      </c>
      <c r="C846" s="9" t="s">
        <v>7</v>
      </c>
      <c r="D846" s="9" t="s">
        <v>36</v>
      </c>
      <c r="E846" s="9">
        <v>140</v>
      </c>
      <c r="F846" s="9">
        <v>0.39700000000000002</v>
      </c>
    </row>
    <row r="847" spans="1:6" x14ac:dyDescent="0.2">
      <c r="A847" s="11" t="s">
        <v>42</v>
      </c>
      <c r="B847">
        <v>1</v>
      </c>
      <c r="C847" s="9" t="s">
        <v>8</v>
      </c>
      <c r="D847" s="9" t="s">
        <v>36</v>
      </c>
      <c r="E847" s="9">
        <v>140</v>
      </c>
      <c r="F847" s="9">
        <v>0.439</v>
      </c>
    </row>
    <row r="848" spans="1:6" x14ac:dyDescent="0.2">
      <c r="A848" s="11" t="s">
        <v>42</v>
      </c>
      <c r="B848">
        <v>1.5</v>
      </c>
      <c r="C848" s="9" t="s">
        <v>6</v>
      </c>
      <c r="D848" s="9" t="s">
        <v>36</v>
      </c>
      <c r="E848" s="9">
        <v>0</v>
      </c>
      <c r="F848" s="9" t="s">
        <v>29</v>
      </c>
    </row>
    <row r="849" spans="1:6" x14ac:dyDescent="0.2">
      <c r="A849" s="11" t="s">
        <v>42</v>
      </c>
      <c r="B849">
        <v>1.5</v>
      </c>
      <c r="C849" s="9" t="s">
        <v>7</v>
      </c>
      <c r="D849" s="9" t="s">
        <v>36</v>
      </c>
      <c r="E849" s="9">
        <v>0</v>
      </c>
      <c r="F849" s="9" t="s">
        <v>29</v>
      </c>
    </row>
    <row r="850" spans="1:6" x14ac:dyDescent="0.2">
      <c r="A850" s="11" t="s">
        <v>42</v>
      </c>
      <c r="B850">
        <v>1.5</v>
      </c>
      <c r="C850" s="9" t="s">
        <v>8</v>
      </c>
      <c r="D850" s="9" t="s">
        <v>36</v>
      </c>
      <c r="E850" s="9">
        <v>0</v>
      </c>
      <c r="F850" s="9" t="s">
        <v>29</v>
      </c>
    </row>
    <row r="851" spans="1:6" x14ac:dyDescent="0.2">
      <c r="A851" s="11" t="s">
        <v>42</v>
      </c>
      <c r="B851">
        <v>1.5</v>
      </c>
      <c r="C851" s="9" t="s">
        <v>6</v>
      </c>
      <c r="D851" s="9" t="s">
        <v>36</v>
      </c>
      <c r="E851" s="9">
        <v>94</v>
      </c>
      <c r="F851" s="9">
        <v>0.19800000000000001</v>
      </c>
    </row>
    <row r="852" spans="1:6" x14ac:dyDescent="0.2">
      <c r="A852" s="11" t="s">
        <v>42</v>
      </c>
      <c r="B852">
        <v>1.5</v>
      </c>
      <c r="C852" s="9" t="s">
        <v>7</v>
      </c>
      <c r="D852" s="9" t="s">
        <v>36</v>
      </c>
      <c r="E852" s="9">
        <v>94</v>
      </c>
      <c r="F852" s="9">
        <v>0.28599999999999998</v>
      </c>
    </row>
    <row r="853" spans="1:6" x14ac:dyDescent="0.2">
      <c r="A853" s="11" t="s">
        <v>42</v>
      </c>
      <c r="B853">
        <v>1.5</v>
      </c>
      <c r="C853" s="9" t="s">
        <v>8</v>
      </c>
      <c r="D853" s="9" t="s">
        <v>36</v>
      </c>
      <c r="E853" s="9">
        <v>94</v>
      </c>
      <c r="F853" s="9">
        <v>0.113</v>
      </c>
    </row>
    <row r="854" spans="1:6" x14ac:dyDescent="0.2">
      <c r="A854" s="11" t="s">
        <v>42</v>
      </c>
      <c r="B854">
        <v>1.5</v>
      </c>
      <c r="C854" s="9" t="s">
        <v>6</v>
      </c>
      <c r="D854" s="9" t="s">
        <v>36</v>
      </c>
      <c r="E854" s="9">
        <v>140</v>
      </c>
      <c r="F854" s="9">
        <v>3.0000000000000001E-3</v>
      </c>
    </row>
    <row r="855" spans="1:6" x14ac:dyDescent="0.2">
      <c r="A855" s="11" t="s">
        <v>42</v>
      </c>
      <c r="B855">
        <v>1.5</v>
      </c>
      <c r="C855" s="9" t="s">
        <v>7</v>
      </c>
      <c r="D855" s="9" t="s">
        <v>36</v>
      </c>
      <c r="E855" s="9">
        <v>140</v>
      </c>
      <c r="F855" s="9">
        <v>0.107</v>
      </c>
    </row>
    <row r="856" spans="1:6" x14ac:dyDescent="0.2">
      <c r="A856" s="11" t="s">
        <v>42</v>
      </c>
      <c r="B856">
        <v>1.5</v>
      </c>
      <c r="C856" s="9" t="s">
        <v>8</v>
      </c>
      <c r="D856" s="9" t="s">
        <v>36</v>
      </c>
      <c r="E856" s="9">
        <v>140</v>
      </c>
      <c r="F856" s="9">
        <v>3.3000000000000002E-2</v>
      </c>
    </row>
    <row r="857" spans="1:6" x14ac:dyDescent="0.2">
      <c r="A857" s="11" t="s">
        <v>42</v>
      </c>
      <c r="B857">
        <v>0</v>
      </c>
      <c r="C857" s="9" t="s">
        <v>6</v>
      </c>
      <c r="D857" s="9" t="s">
        <v>36</v>
      </c>
      <c r="E857" s="9">
        <v>0</v>
      </c>
      <c r="F857" s="9" t="s">
        <v>29</v>
      </c>
    </row>
    <row r="858" spans="1:6" x14ac:dyDescent="0.2">
      <c r="A858" s="11" t="s">
        <v>42</v>
      </c>
      <c r="B858">
        <v>0</v>
      </c>
      <c r="C858" s="9" t="s">
        <v>7</v>
      </c>
      <c r="D858" s="9" t="s">
        <v>36</v>
      </c>
      <c r="E858" s="9">
        <v>0</v>
      </c>
      <c r="F858" s="9" t="s">
        <v>29</v>
      </c>
    </row>
    <row r="859" spans="1:6" x14ac:dyDescent="0.2">
      <c r="A859" s="11" t="s">
        <v>42</v>
      </c>
      <c r="B859">
        <v>0</v>
      </c>
      <c r="C859" s="9" t="s">
        <v>8</v>
      </c>
      <c r="D859" s="9" t="s">
        <v>36</v>
      </c>
      <c r="E859" s="9">
        <v>0</v>
      </c>
      <c r="F859" s="9" t="s">
        <v>29</v>
      </c>
    </row>
    <row r="860" spans="1:6" x14ac:dyDescent="0.2">
      <c r="A860" s="11" t="s">
        <v>42</v>
      </c>
      <c r="B860">
        <v>0</v>
      </c>
      <c r="C860" s="9" t="s">
        <v>6</v>
      </c>
      <c r="D860" s="9" t="s">
        <v>36</v>
      </c>
      <c r="E860" s="9">
        <v>94</v>
      </c>
      <c r="F860" s="9" t="s">
        <v>29</v>
      </c>
    </row>
    <row r="861" spans="1:6" x14ac:dyDescent="0.2">
      <c r="A861" s="11" t="s">
        <v>42</v>
      </c>
      <c r="B861">
        <v>0</v>
      </c>
      <c r="C861" s="9" t="s">
        <v>7</v>
      </c>
      <c r="D861" s="9" t="s">
        <v>36</v>
      </c>
      <c r="E861" s="9">
        <v>94</v>
      </c>
      <c r="F861" s="9" t="s">
        <v>29</v>
      </c>
    </row>
    <row r="862" spans="1:6" x14ac:dyDescent="0.2">
      <c r="A862" s="11" t="s">
        <v>42</v>
      </c>
      <c r="B862">
        <v>0</v>
      </c>
      <c r="C862" s="9" t="s">
        <v>8</v>
      </c>
      <c r="D862" s="9" t="s">
        <v>36</v>
      </c>
      <c r="E862" s="9">
        <v>94</v>
      </c>
      <c r="F862" s="9" t="s">
        <v>29</v>
      </c>
    </row>
    <row r="863" spans="1:6" x14ac:dyDescent="0.2">
      <c r="A863" s="11" t="s">
        <v>42</v>
      </c>
      <c r="B863">
        <v>0</v>
      </c>
      <c r="C863" s="9" t="s">
        <v>6</v>
      </c>
      <c r="D863" s="9" t="s">
        <v>36</v>
      </c>
      <c r="E863" s="9">
        <v>140</v>
      </c>
      <c r="F863" s="9" t="s">
        <v>29</v>
      </c>
    </row>
    <row r="864" spans="1:6" x14ac:dyDescent="0.2">
      <c r="A864" s="11" t="s">
        <v>42</v>
      </c>
      <c r="B864">
        <v>0</v>
      </c>
      <c r="C864" s="9" t="s">
        <v>7</v>
      </c>
      <c r="D864" s="9" t="s">
        <v>36</v>
      </c>
      <c r="E864" s="9">
        <v>140</v>
      </c>
      <c r="F864" s="9" t="s">
        <v>29</v>
      </c>
    </row>
    <row r="865" spans="1:6" x14ac:dyDescent="0.2">
      <c r="A865" s="11" t="s">
        <v>42</v>
      </c>
      <c r="B865">
        <v>0</v>
      </c>
      <c r="C865" s="9" t="s">
        <v>8</v>
      </c>
      <c r="D865" s="9" t="s">
        <v>36</v>
      </c>
      <c r="E865" s="9">
        <v>140</v>
      </c>
      <c r="F865" s="9" t="s">
        <v>29</v>
      </c>
    </row>
    <row r="866" spans="1:6" x14ac:dyDescent="0.2">
      <c r="A866" s="11" t="s">
        <v>42</v>
      </c>
      <c r="B866">
        <v>0.25</v>
      </c>
      <c r="C866" s="9" t="s">
        <v>6</v>
      </c>
      <c r="D866" s="9" t="s">
        <v>37</v>
      </c>
      <c r="E866" s="9">
        <v>0</v>
      </c>
      <c r="F866" s="9" t="s">
        <v>29</v>
      </c>
    </row>
    <row r="867" spans="1:6" x14ac:dyDescent="0.2">
      <c r="A867" s="11" t="s">
        <v>42</v>
      </c>
      <c r="B867">
        <v>0.25</v>
      </c>
      <c r="C867" s="9" t="s">
        <v>7</v>
      </c>
      <c r="D867" s="9" t="s">
        <v>37</v>
      </c>
      <c r="E867" s="9">
        <v>0</v>
      </c>
      <c r="F867" s="9" t="s">
        <v>29</v>
      </c>
    </row>
    <row r="868" spans="1:6" x14ac:dyDescent="0.2">
      <c r="A868" s="11" t="s">
        <v>42</v>
      </c>
      <c r="B868">
        <v>0.25</v>
      </c>
      <c r="C868" s="9" t="s">
        <v>8</v>
      </c>
      <c r="D868" s="9" t="s">
        <v>37</v>
      </c>
      <c r="E868" s="9">
        <v>0</v>
      </c>
      <c r="F868" s="9" t="s">
        <v>29</v>
      </c>
    </row>
    <row r="869" spans="1:6" x14ac:dyDescent="0.2">
      <c r="A869" s="11" t="s">
        <v>42</v>
      </c>
      <c r="B869">
        <v>0.25</v>
      </c>
      <c r="C869" s="9" t="s">
        <v>6</v>
      </c>
      <c r="D869" s="9" t="s">
        <v>37</v>
      </c>
      <c r="E869" s="9">
        <v>94</v>
      </c>
      <c r="F869" s="9" t="s">
        <v>29</v>
      </c>
    </row>
    <row r="870" spans="1:6" x14ac:dyDescent="0.2">
      <c r="A870" s="11" t="s">
        <v>42</v>
      </c>
      <c r="B870">
        <v>0.25</v>
      </c>
      <c r="C870" s="9" t="s">
        <v>7</v>
      </c>
      <c r="D870" s="9" t="s">
        <v>37</v>
      </c>
      <c r="E870" s="9">
        <v>94</v>
      </c>
      <c r="F870" s="9" t="s">
        <v>29</v>
      </c>
    </row>
    <row r="871" spans="1:6" x14ac:dyDescent="0.2">
      <c r="A871" s="11" t="s">
        <v>42</v>
      </c>
      <c r="B871">
        <v>0.25</v>
      </c>
      <c r="C871" s="9" t="s">
        <v>8</v>
      </c>
      <c r="D871" s="9" t="s">
        <v>37</v>
      </c>
      <c r="E871" s="9">
        <v>94</v>
      </c>
      <c r="F871" s="9" t="s">
        <v>29</v>
      </c>
    </row>
    <row r="872" spans="1:6" x14ac:dyDescent="0.2">
      <c r="A872" s="11" t="s">
        <v>42</v>
      </c>
      <c r="B872">
        <v>0.25</v>
      </c>
      <c r="C872" s="9" t="s">
        <v>6</v>
      </c>
      <c r="D872" s="9" t="s">
        <v>37</v>
      </c>
      <c r="E872" s="9">
        <v>140</v>
      </c>
      <c r="F872" s="9" t="s">
        <v>29</v>
      </c>
    </row>
    <row r="873" spans="1:6" x14ac:dyDescent="0.2">
      <c r="A873" s="11" t="s">
        <v>42</v>
      </c>
      <c r="B873">
        <v>0.25</v>
      </c>
      <c r="C873" s="9" t="s">
        <v>7</v>
      </c>
      <c r="D873" s="9" t="s">
        <v>37</v>
      </c>
      <c r="E873" s="9">
        <v>140</v>
      </c>
      <c r="F873" s="9" t="s">
        <v>29</v>
      </c>
    </row>
    <row r="874" spans="1:6" x14ac:dyDescent="0.2">
      <c r="A874" s="11" t="s">
        <v>42</v>
      </c>
      <c r="B874">
        <v>0.25</v>
      </c>
      <c r="C874" s="9" t="s">
        <v>8</v>
      </c>
      <c r="D874" s="9" t="s">
        <v>37</v>
      </c>
      <c r="E874" s="9">
        <v>140</v>
      </c>
      <c r="F874" s="9" t="s">
        <v>29</v>
      </c>
    </row>
    <row r="875" spans="1:6" x14ac:dyDescent="0.2">
      <c r="A875" s="11" t="s">
        <v>42</v>
      </c>
      <c r="B875">
        <v>0.5</v>
      </c>
      <c r="C875" s="9" t="s">
        <v>6</v>
      </c>
      <c r="D875" s="9" t="s">
        <v>37</v>
      </c>
      <c r="E875" s="9">
        <v>0</v>
      </c>
      <c r="F875" s="9" t="s">
        <v>29</v>
      </c>
    </row>
    <row r="876" spans="1:6" x14ac:dyDescent="0.2">
      <c r="A876" s="11" t="s">
        <v>42</v>
      </c>
      <c r="B876">
        <v>0.5</v>
      </c>
      <c r="C876" s="9" t="s">
        <v>7</v>
      </c>
      <c r="D876" s="9" t="s">
        <v>37</v>
      </c>
      <c r="E876" s="9">
        <v>0</v>
      </c>
      <c r="F876" s="9" t="s">
        <v>29</v>
      </c>
    </row>
    <row r="877" spans="1:6" x14ac:dyDescent="0.2">
      <c r="A877" s="11" t="s">
        <v>42</v>
      </c>
      <c r="B877">
        <v>0.5</v>
      </c>
      <c r="C877" s="9" t="s">
        <v>8</v>
      </c>
      <c r="D877" s="9" t="s">
        <v>37</v>
      </c>
      <c r="E877" s="9">
        <v>0</v>
      </c>
      <c r="F877" s="9" t="s">
        <v>29</v>
      </c>
    </row>
    <row r="878" spans="1:6" x14ac:dyDescent="0.2">
      <c r="A878" s="11" t="s">
        <v>42</v>
      </c>
      <c r="B878">
        <v>0.5</v>
      </c>
      <c r="C878" s="9" t="s">
        <v>6</v>
      </c>
      <c r="D878" s="9" t="s">
        <v>37</v>
      </c>
      <c r="E878" s="9">
        <v>94</v>
      </c>
      <c r="F878" s="9" t="s">
        <v>29</v>
      </c>
    </row>
    <row r="879" spans="1:6" x14ac:dyDescent="0.2">
      <c r="A879" s="11" t="s">
        <v>42</v>
      </c>
      <c r="B879">
        <v>0.5</v>
      </c>
      <c r="C879" s="9" t="s">
        <v>7</v>
      </c>
      <c r="D879" s="9" t="s">
        <v>37</v>
      </c>
      <c r="E879" s="9">
        <v>94</v>
      </c>
      <c r="F879" s="9" t="s">
        <v>29</v>
      </c>
    </row>
    <row r="880" spans="1:6" x14ac:dyDescent="0.2">
      <c r="A880" s="11" t="s">
        <v>42</v>
      </c>
      <c r="B880">
        <v>0.5</v>
      </c>
      <c r="C880" s="9" t="s">
        <v>8</v>
      </c>
      <c r="D880" s="9" t="s">
        <v>37</v>
      </c>
      <c r="E880" s="9">
        <v>94</v>
      </c>
      <c r="F880" s="9" t="s">
        <v>29</v>
      </c>
    </row>
    <row r="881" spans="1:6" x14ac:dyDescent="0.2">
      <c r="A881" s="11" t="s">
        <v>42</v>
      </c>
      <c r="B881">
        <v>0.5</v>
      </c>
      <c r="C881" s="9" t="s">
        <v>6</v>
      </c>
      <c r="D881" s="9" t="s">
        <v>37</v>
      </c>
      <c r="E881" s="9">
        <v>140</v>
      </c>
      <c r="F881" s="9" t="s">
        <v>29</v>
      </c>
    </row>
    <row r="882" spans="1:6" x14ac:dyDescent="0.2">
      <c r="A882" s="11" t="s">
        <v>42</v>
      </c>
      <c r="B882">
        <v>0.5</v>
      </c>
      <c r="C882" s="9" t="s">
        <v>7</v>
      </c>
      <c r="D882" s="9" t="s">
        <v>37</v>
      </c>
      <c r="E882" s="9">
        <v>140</v>
      </c>
      <c r="F882" s="9" t="s">
        <v>29</v>
      </c>
    </row>
    <row r="883" spans="1:6" x14ac:dyDescent="0.2">
      <c r="A883" s="11" t="s">
        <v>42</v>
      </c>
      <c r="B883">
        <v>0.5</v>
      </c>
      <c r="C883" s="9" t="s">
        <v>8</v>
      </c>
      <c r="D883" s="9" t="s">
        <v>37</v>
      </c>
      <c r="E883" s="9">
        <v>140</v>
      </c>
      <c r="F883" s="9" t="s">
        <v>29</v>
      </c>
    </row>
    <row r="884" spans="1:6" x14ac:dyDescent="0.2">
      <c r="A884" s="11" t="s">
        <v>42</v>
      </c>
      <c r="B884">
        <v>1</v>
      </c>
      <c r="C884" s="9" t="s">
        <v>6</v>
      </c>
      <c r="D884" s="9" t="s">
        <v>37</v>
      </c>
      <c r="E884" s="9">
        <v>0</v>
      </c>
      <c r="F884" s="9" t="s">
        <v>29</v>
      </c>
    </row>
    <row r="885" spans="1:6" x14ac:dyDescent="0.2">
      <c r="A885" s="11" t="s">
        <v>42</v>
      </c>
      <c r="B885">
        <v>1</v>
      </c>
      <c r="C885" s="9" t="s">
        <v>7</v>
      </c>
      <c r="D885" s="9" t="s">
        <v>37</v>
      </c>
      <c r="E885" s="9">
        <v>0</v>
      </c>
      <c r="F885" s="9" t="s">
        <v>29</v>
      </c>
    </row>
    <row r="886" spans="1:6" x14ac:dyDescent="0.2">
      <c r="A886" s="11" t="s">
        <v>42</v>
      </c>
      <c r="B886">
        <v>1</v>
      </c>
      <c r="C886" s="9" t="s">
        <v>8</v>
      </c>
      <c r="D886" s="9" t="s">
        <v>37</v>
      </c>
      <c r="E886" s="9">
        <v>0</v>
      </c>
      <c r="F886" s="9" t="s">
        <v>29</v>
      </c>
    </row>
    <row r="887" spans="1:6" x14ac:dyDescent="0.2">
      <c r="A887" s="11" t="s">
        <v>42</v>
      </c>
      <c r="B887">
        <v>1</v>
      </c>
      <c r="C887" s="9" t="s">
        <v>6</v>
      </c>
      <c r="D887" s="9" t="s">
        <v>37</v>
      </c>
      <c r="E887" s="9">
        <v>94</v>
      </c>
      <c r="F887" s="9" t="s">
        <v>29</v>
      </c>
    </row>
    <row r="888" spans="1:6" x14ac:dyDescent="0.2">
      <c r="A888" s="11" t="s">
        <v>42</v>
      </c>
      <c r="B888">
        <v>1</v>
      </c>
      <c r="C888" s="9" t="s">
        <v>7</v>
      </c>
      <c r="D888" s="9" t="s">
        <v>37</v>
      </c>
      <c r="E888" s="9">
        <v>94</v>
      </c>
      <c r="F888" s="9" t="s">
        <v>29</v>
      </c>
    </row>
    <row r="889" spans="1:6" x14ac:dyDescent="0.2">
      <c r="A889" s="11" t="s">
        <v>42</v>
      </c>
      <c r="B889">
        <v>1</v>
      </c>
      <c r="C889" s="9" t="s">
        <v>8</v>
      </c>
      <c r="D889" s="9" t="s">
        <v>37</v>
      </c>
      <c r="E889" s="9">
        <v>94</v>
      </c>
      <c r="F889" s="9" t="s">
        <v>29</v>
      </c>
    </row>
    <row r="890" spans="1:6" x14ac:dyDescent="0.2">
      <c r="A890" s="11" t="s">
        <v>42</v>
      </c>
      <c r="B890">
        <v>1</v>
      </c>
      <c r="C890" s="9" t="s">
        <v>6</v>
      </c>
      <c r="D890" s="9" t="s">
        <v>37</v>
      </c>
      <c r="E890" s="9">
        <v>140</v>
      </c>
      <c r="F890" s="9" t="s">
        <v>29</v>
      </c>
    </row>
    <row r="891" spans="1:6" x14ac:dyDescent="0.2">
      <c r="A891" s="11" t="s">
        <v>42</v>
      </c>
      <c r="B891">
        <v>1</v>
      </c>
      <c r="C891" s="9" t="s">
        <v>7</v>
      </c>
      <c r="D891" s="9" t="s">
        <v>37</v>
      </c>
      <c r="E891" s="9">
        <v>140</v>
      </c>
      <c r="F891" s="9" t="s">
        <v>29</v>
      </c>
    </row>
    <row r="892" spans="1:6" x14ac:dyDescent="0.2">
      <c r="A892" s="11" t="s">
        <v>42</v>
      </c>
      <c r="B892">
        <v>1</v>
      </c>
      <c r="C892" s="9" t="s">
        <v>8</v>
      </c>
      <c r="D892" s="9" t="s">
        <v>37</v>
      </c>
      <c r="E892" s="9">
        <v>140</v>
      </c>
      <c r="F892" s="9" t="s">
        <v>29</v>
      </c>
    </row>
    <row r="893" spans="1:6" x14ac:dyDescent="0.2">
      <c r="A893" s="11" t="s">
        <v>42</v>
      </c>
      <c r="B893">
        <v>1.5</v>
      </c>
      <c r="C893" s="9" t="s">
        <v>6</v>
      </c>
      <c r="D893" s="9" t="s">
        <v>37</v>
      </c>
      <c r="E893" s="9">
        <v>0</v>
      </c>
      <c r="F893" s="9" t="s">
        <v>29</v>
      </c>
    </row>
    <row r="894" spans="1:6" x14ac:dyDescent="0.2">
      <c r="A894" s="11" t="s">
        <v>42</v>
      </c>
      <c r="B894">
        <v>1.5</v>
      </c>
      <c r="C894" s="9" t="s">
        <v>7</v>
      </c>
      <c r="D894" s="9" t="s">
        <v>37</v>
      </c>
      <c r="E894" s="9">
        <v>0</v>
      </c>
      <c r="F894" s="9" t="s">
        <v>29</v>
      </c>
    </row>
    <row r="895" spans="1:6" x14ac:dyDescent="0.2">
      <c r="A895" s="11" t="s">
        <v>42</v>
      </c>
      <c r="B895">
        <v>1.5</v>
      </c>
      <c r="C895" s="9" t="s">
        <v>8</v>
      </c>
      <c r="D895" s="9" t="s">
        <v>37</v>
      </c>
      <c r="E895" s="9">
        <v>0</v>
      </c>
      <c r="F895" s="9" t="s">
        <v>29</v>
      </c>
    </row>
    <row r="896" spans="1:6" x14ac:dyDescent="0.2">
      <c r="A896" s="11" t="s">
        <v>42</v>
      </c>
      <c r="B896">
        <v>1.5</v>
      </c>
      <c r="C896" s="9" t="s">
        <v>6</v>
      </c>
      <c r="D896" s="9" t="s">
        <v>37</v>
      </c>
      <c r="E896" s="9">
        <v>94</v>
      </c>
      <c r="F896" s="9" t="s">
        <v>29</v>
      </c>
    </row>
    <row r="897" spans="1:6" x14ac:dyDescent="0.2">
      <c r="A897" s="11" t="s">
        <v>42</v>
      </c>
      <c r="B897">
        <v>1.5</v>
      </c>
      <c r="C897" s="9" t="s">
        <v>7</v>
      </c>
      <c r="D897" s="9" t="s">
        <v>37</v>
      </c>
      <c r="E897" s="9">
        <v>94</v>
      </c>
      <c r="F897" s="9" t="s">
        <v>29</v>
      </c>
    </row>
    <row r="898" spans="1:6" x14ac:dyDescent="0.2">
      <c r="A898" s="11" t="s">
        <v>42</v>
      </c>
      <c r="B898">
        <v>1.5</v>
      </c>
      <c r="C898" s="9" t="s">
        <v>8</v>
      </c>
      <c r="D898" s="9" t="s">
        <v>37</v>
      </c>
      <c r="E898" s="9">
        <v>94</v>
      </c>
      <c r="F898" s="9" t="s">
        <v>29</v>
      </c>
    </row>
    <row r="899" spans="1:6" x14ac:dyDescent="0.2">
      <c r="A899" s="11" t="s">
        <v>42</v>
      </c>
      <c r="B899">
        <v>1.5</v>
      </c>
      <c r="C899" s="9" t="s">
        <v>6</v>
      </c>
      <c r="D899" s="9" t="s">
        <v>37</v>
      </c>
      <c r="E899" s="9">
        <v>140</v>
      </c>
      <c r="F899" s="9" t="s">
        <v>29</v>
      </c>
    </row>
    <row r="900" spans="1:6" x14ac:dyDescent="0.2">
      <c r="A900" s="11" t="s">
        <v>42</v>
      </c>
      <c r="B900">
        <v>1.5</v>
      </c>
      <c r="C900" s="9" t="s">
        <v>7</v>
      </c>
      <c r="D900" s="9" t="s">
        <v>37</v>
      </c>
      <c r="E900" s="9">
        <v>140</v>
      </c>
      <c r="F900" s="9" t="s">
        <v>29</v>
      </c>
    </row>
    <row r="901" spans="1:6" x14ac:dyDescent="0.2">
      <c r="A901" s="11" t="s">
        <v>42</v>
      </c>
      <c r="B901">
        <v>1.5</v>
      </c>
      <c r="C901" s="9" t="s">
        <v>8</v>
      </c>
      <c r="D901" s="9" t="s">
        <v>37</v>
      </c>
      <c r="E901" s="9">
        <v>140</v>
      </c>
      <c r="F901" s="9" t="s">
        <v>29</v>
      </c>
    </row>
    <row r="902" spans="1:6" x14ac:dyDescent="0.2">
      <c r="A902" s="11" t="s">
        <v>42</v>
      </c>
      <c r="B902">
        <v>0</v>
      </c>
      <c r="C902" s="9" t="s">
        <v>6</v>
      </c>
      <c r="D902" s="9" t="s">
        <v>37</v>
      </c>
      <c r="E902" s="9">
        <v>0</v>
      </c>
      <c r="F902" s="9" t="s">
        <v>29</v>
      </c>
    </row>
    <row r="903" spans="1:6" x14ac:dyDescent="0.2">
      <c r="A903" s="11" t="s">
        <v>42</v>
      </c>
      <c r="B903">
        <v>0</v>
      </c>
      <c r="C903" s="9" t="s">
        <v>7</v>
      </c>
      <c r="D903" s="9" t="s">
        <v>37</v>
      </c>
      <c r="E903" s="9">
        <v>0</v>
      </c>
      <c r="F903" s="9" t="s">
        <v>29</v>
      </c>
    </row>
    <row r="904" spans="1:6" x14ac:dyDescent="0.2">
      <c r="A904" s="11" t="s">
        <v>42</v>
      </c>
      <c r="B904">
        <v>0</v>
      </c>
      <c r="C904" s="9" t="s">
        <v>8</v>
      </c>
      <c r="D904" s="9" t="s">
        <v>37</v>
      </c>
      <c r="E904" s="9">
        <v>0</v>
      </c>
      <c r="F904" s="9" t="s">
        <v>29</v>
      </c>
    </row>
    <row r="905" spans="1:6" x14ac:dyDescent="0.2">
      <c r="A905" s="11" t="s">
        <v>42</v>
      </c>
      <c r="B905">
        <v>0</v>
      </c>
      <c r="C905" s="9" t="s">
        <v>6</v>
      </c>
      <c r="D905" s="9" t="s">
        <v>37</v>
      </c>
      <c r="E905" s="9">
        <v>94</v>
      </c>
      <c r="F905" s="9" t="s">
        <v>29</v>
      </c>
    </row>
    <row r="906" spans="1:6" x14ac:dyDescent="0.2">
      <c r="A906" s="11" t="s">
        <v>42</v>
      </c>
      <c r="B906">
        <v>0</v>
      </c>
      <c r="C906" s="9" t="s">
        <v>7</v>
      </c>
      <c r="D906" s="9" t="s">
        <v>37</v>
      </c>
      <c r="E906" s="9">
        <v>94</v>
      </c>
      <c r="F906" s="9" t="s">
        <v>29</v>
      </c>
    </row>
    <row r="907" spans="1:6" x14ac:dyDescent="0.2">
      <c r="A907" s="11" t="s">
        <v>42</v>
      </c>
      <c r="B907">
        <v>0</v>
      </c>
      <c r="C907" s="9" t="s">
        <v>8</v>
      </c>
      <c r="D907" s="9" t="s">
        <v>37</v>
      </c>
      <c r="E907" s="9">
        <v>94</v>
      </c>
      <c r="F907" s="9" t="s">
        <v>29</v>
      </c>
    </row>
    <row r="908" spans="1:6" x14ac:dyDescent="0.2">
      <c r="A908" s="11" t="s">
        <v>42</v>
      </c>
      <c r="B908">
        <v>0</v>
      </c>
      <c r="C908" s="9" t="s">
        <v>6</v>
      </c>
      <c r="D908" s="9" t="s">
        <v>37</v>
      </c>
      <c r="E908" s="9">
        <v>140</v>
      </c>
      <c r="F908" s="9" t="s">
        <v>29</v>
      </c>
    </row>
    <row r="909" spans="1:6" x14ac:dyDescent="0.2">
      <c r="A909" s="11" t="s">
        <v>42</v>
      </c>
      <c r="B909">
        <v>0</v>
      </c>
      <c r="C909" s="9" t="s">
        <v>7</v>
      </c>
      <c r="D909" s="9" t="s">
        <v>37</v>
      </c>
      <c r="E909" s="9">
        <v>140</v>
      </c>
      <c r="F909" s="9" t="s">
        <v>29</v>
      </c>
    </row>
    <row r="910" spans="1:6" x14ac:dyDescent="0.2">
      <c r="A910" s="11" t="s">
        <v>42</v>
      </c>
      <c r="B910">
        <v>0</v>
      </c>
      <c r="C910" s="9" t="s">
        <v>8</v>
      </c>
      <c r="D910" s="9" t="s">
        <v>37</v>
      </c>
      <c r="E910" s="9">
        <v>140</v>
      </c>
      <c r="F910" s="9" t="s">
        <v>29</v>
      </c>
    </row>
    <row r="911" spans="1:6" x14ac:dyDescent="0.2">
      <c r="A911" s="11" t="s">
        <v>42</v>
      </c>
      <c r="B911">
        <v>0.25</v>
      </c>
      <c r="C911" s="9" t="s">
        <v>6</v>
      </c>
      <c r="D911" s="9" t="s">
        <v>38</v>
      </c>
      <c r="E911" s="9">
        <v>0</v>
      </c>
      <c r="F911" s="9" t="s">
        <v>29</v>
      </c>
    </row>
    <row r="912" spans="1:6" x14ac:dyDescent="0.2">
      <c r="A912" s="11" t="s">
        <v>42</v>
      </c>
      <c r="B912">
        <v>0.25</v>
      </c>
      <c r="C912" s="9" t="s">
        <v>7</v>
      </c>
      <c r="D912" s="9" t="s">
        <v>38</v>
      </c>
      <c r="E912" s="9">
        <v>0</v>
      </c>
      <c r="F912" s="9" t="s">
        <v>29</v>
      </c>
    </row>
    <row r="913" spans="1:6" x14ac:dyDescent="0.2">
      <c r="A913" s="11" t="s">
        <v>42</v>
      </c>
      <c r="B913">
        <v>0.25</v>
      </c>
      <c r="C913" s="9" t="s">
        <v>8</v>
      </c>
      <c r="D913" s="9" t="s">
        <v>38</v>
      </c>
      <c r="E913" s="9">
        <v>0</v>
      </c>
      <c r="F913" s="9" t="s">
        <v>29</v>
      </c>
    </row>
    <row r="914" spans="1:6" x14ac:dyDescent="0.2">
      <c r="A914" s="11" t="s">
        <v>42</v>
      </c>
      <c r="B914">
        <v>0.25</v>
      </c>
      <c r="C914" s="9" t="s">
        <v>6</v>
      </c>
      <c r="D914" s="9" t="s">
        <v>38</v>
      </c>
      <c r="E914" s="9">
        <v>94</v>
      </c>
      <c r="F914" s="9">
        <v>2.7850000000000001</v>
      </c>
    </row>
    <row r="915" spans="1:6" x14ac:dyDescent="0.2">
      <c r="A915" s="11" t="s">
        <v>42</v>
      </c>
      <c r="B915">
        <v>0.25</v>
      </c>
      <c r="C915" s="9" t="s">
        <v>7</v>
      </c>
      <c r="D915" s="9" t="s">
        <v>38</v>
      </c>
      <c r="E915" s="9">
        <v>94</v>
      </c>
      <c r="F915" s="9">
        <v>2.375</v>
      </c>
    </row>
    <row r="916" spans="1:6" x14ac:dyDescent="0.2">
      <c r="A916" s="11" t="s">
        <v>42</v>
      </c>
      <c r="B916">
        <v>0.25</v>
      </c>
      <c r="C916" s="9" t="s">
        <v>8</v>
      </c>
      <c r="D916" s="9" t="s">
        <v>38</v>
      </c>
      <c r="E916" s="9">
        <v>94</v>
      </c>
      <c r="F916" s="9">
        <v>3.7309999999999999</v>
      </c>
    </row>
    <row r="917" spans="1:6" x14ac:dyDescent="0.2">
      <c r="A917" s="11" t="s">
        <v>42</v>
      </c>
      <c r="B917">
        <v>0.25</v>
      </c>
      <c r="C917" s="9" t="s">
        <v>6</v>
      </c>
      <c r="D917" s="9" t="s">
        <v>38</v>
      </c>
      <c r="E917" s="9">
        <v>140</v>
      </c>
      <c r="F917" s="9">
        <v>6.8869999999999996</v>
      </c>
    </row>
    <row r="918" spans="1:6" x14ac:dyDescent="0.2">
      <c r="A918" s="11" t="s">
        <v>42</v>
      </c>
      <c r="B918">
        <v>0.25</v>
      </c>
      <c r="C918" s="9" t="s">
        <v>7</v>
      </c>
      <c r="D918" s="9" t="s">
        <v>38</v>
      </c>
      <c r="E918" s="9">
        <v>140</v>
      </c>
      <c r="F918" s="9">
        <v>6.6580000000000004</v>
      </c>
    </row>
    <row r="919" spans="1:6" x14ac:dyDescent="0.2">
      <c r="A919" s="11" t="s">
        <v>42</v>
      </c>
      <c r="B919">
        <v>0.25</v>
      </c>
      <c r="C919" s="9" t="s">
        <v>8</v>
      </c>
      <c r="D919" s="9" t="s">
        <v>38</v>
      </c>
      <c r="E919" s="9">
        <v>140</v>
      </c>
      <c r="F919" s="9">
        <v>7.1959999999999997</v>
      </c>
    </row>
    <row r="920" spans="1:6" x14ac:dyDescent="0.2">
      <c r="A920" s="11" t="s">
        <v>42</v>
      </c>
      <c r="B920">
        <v>0.5</v>
      </c>
      <c r="C920" s="9" t="s">
        <v>6</v>
      </c>
      <c r="D920" s="9" t="s">
        <v>38</v>
      </c>
      <c r="E920" s="9">
        <v>0</v>
      </c>
      <c r="F920" s="9" t="s">
        <v>29</v>
      </c>
    </row>
    <row r="921" spans="1:6" x14ac:dyDescent="0.2">
      <c r="A921" s="11" t="s">
        <v>42</v>
      </c>
      <c r="B921">
        <v>0.5</v>
      </c>
      <c r="C921" s="9" t="s">
        <v>7</v>
      </c>
      <c r="D921" s="9" t="s">
        <v>38</v>
      </c>
      <c r="E921" s="9">
        <v>0</v>
      </c>
      <c r="F921" s="9" t="s">
        <v>29</v>
      </c>
    </row>
    <row r="922" spans="1:6" x14ac:dyDescent="0.2">
      <c r="A922" s="11" t="s">
        <v>42</v>
      </c>
      <c r="B922">
        <v>0.5</v>
      </c>
      <c r="C922" s="9" t="s">
        <v>8</v>
      </c>
      <c r="D922" s="9" t="s">
        <v>38</v>
      </c>
      <c r="E922" s="9">
        <v>0</v>
      </c>
      <c r="F922" s="9" t="s">
        <v>29</v>
      </c>
    </row>
    <row r="923" spans="1:6" x14ac:dyDescent="0.2">
      <c r="A923" s="11" t="s">
        <v>42</v>
      </c>
      <c r="B923">
        <v>0.5</v>
      </c>
      <c r="C923" s="9" t="s">
        <v>6</v>
      </c>
      <c r="D923" s="9" t="s">
        <v>38</v>
      </c>
      <c r="E923" s="9">
        <v>94</v>
      </c>
      <c r="F923" s="9">
        <v>0.51</v>
      </c>
    </row>
    <row r="924" spans="1:6" x14ac:dyDescent="0.2">
      <c r="A924" s="11" t="s">
        <v>42</v>
      </c>
      <c r="B924">
        <v>0.5</v>
      </c>
      <c r="C924" s="9" t="s">
        <v>7</v>
      </c>
      <c r="D924" s="9" t="s">
        <v>38</v>
      </c>
      <c r="E924" s="9">
        <v>94</v>
      </c>
      <c r="F924" s="9">
        <v>0.73199999999999998</v>
      </c>
    </row>
    <row r="925" spans="1:6" x14ac:dyDescent="0.2">
      <c r="A925" s="11" t="s">
        <v>42</v>
      </c>
      <c r="B925">
        <v>0.5</v>
      </c>
      <c r="C925" s="9" t="s">
        <v>8</v>
      </c>
      <c r="D925" s="9" t="s">
        <v>38</v>
      </c>
      <c r="E925" s="9">
        <v>94</v>
      </c>
      <c r="F925" s="9">
        <v>0.67600000000000005</v>
      </c>
    </row>
    <row r="926" spans="1:6" x14ac:dyDescent="0.2">
      <c r="A926" s="11" t="s">
        <v>42</v>
      </c>
      <c r="B926">
        <v>0.5</v>
      </c>
      <c r="C926" s="9" t="s">
        <v>6</v>
      </c>
      <c r="D926" s="9" t="s">
        <v>38</v>
      </c>
      <c r="E926" s="9">
        <v>140</v>
      </c>
      <c r="F926" s="9">
        <v>3.282</v>
      </c>
    </row>
    <row r="927" spans="1:6" x14ac:dyDescent="0.2">
      <c r="A927" s="11" t="s">
        <v>42</v>
      </c>
      <c r="B927">
        <v>0.5</v>
      </c>
      <c r="C927" s="9" t="s">
        <v>7</v>
      </c>
      <c r="D927" s="9" t="s">
        <v>38</v>
      </c>
      <c r="E927" s="9">
        <v>140</v>
      </c>
      <c r="F927" s="9">
        <v>2.7629999999999999</v>
      </c>
    </row>
    <row r="928" spans="1:6" x14ac:dyDescent="0.2">
      <c r="A928" s="11" t="s">
        <v>42</v>
      </c>
      <c r="B928">
        <v>0.5</v>
      </c>
      <c r="C928" s="9" t="s">
        <v>8</v>
      </c>
      <c r="D928" s="9" t="s">
        <v>38</v>
      </c>
      <c r="E928" s="9">
        <v>140</v>
      </c>
      <c r="F928" s="9">
        <v>3.8730000000000002</v>
      </c>
    </row>
    <row r="929" spans="1:6" x14ac:dyDescent="0.2">
      <c r="A929" s="11" t="s">
        <v>42</v>
      </c>
      <c r="B929">
        <v>1</v>
      </c>
      <c r="C929" s="9" t="s">
        <v>6</v>
      </c>
      <c r="D929" s="9" t="s">
        <v>38</v>
      </c>
      <c r="E929" s="9">
        <v>0</v>
      </c>
      <c r="F929" s="9" t="s">
        <v>29</v>
      </c>
    </row>
    <row r="930" spans="1:6" x14ac:dyDescent="0.2">
      <c r="A930" s="11" t="s">
        <v>42</v>
      </c>
      <c r="B930">
        <v>1</v>
      </c>
      <c r="C930" s="9" t="s">
        <v>7</v>
      </c>
      <c r="D930" s="9" t="s">
        <v>38</v>
      </c>
      <c r="E930" s="9">
        <v>0</v>
      </c>
      <c r="F930" s="9" t="s">
        <v>29</v>
      </c>
    </row>
    <row r="931" spans="1:6" x14ac:dyDescent="0.2">
      <c r="A931" s="11" t="s">
        <v>42</v>
      </c>
      <c r="B931">
        <v>1</v>
      </c>
      <c r="C931" s="9" t="s">
        <v>8</v>
      </c>
      <c r="D931" s="9" t="s">
        <v>38</v>
      </c>
      <c r="E931" s="9">
        <v>0</v>
      </c>
      <c r="F931" s="9" t="s">
        <v>29</v>
      </c>
    </row>
    <row r="932" spans="1:6" x14ac:dyDescent="0.2">
      <c r="A932" s="11" t="s">
        <v>42</v>
      </c>
      <c r="B932">
        <v>1</v>
      </c>
      <c r="C932" s="9" t="s">
        <v>6</v>
      </c>
      <c r="D932" s="9" t="s">
        <v>38</v>
      </c>
      <c r="E932" s="9">
        <v>94</v>
      </c>
      <c r="F932" s="9">
        <v>5.0999999999999997E-2</v>
      </c>
    </row>
    <row r="933" spans="1:6" x14ac:dyDescent="0.2">
      <c r="A933" s="11" t="s">
        <v>42</v>
      </c>
      <c r="B933">
        <v>1</v>
      </c>
      <c r="C933" s="9" t="s">
        <v>7</v>
      </c>
      <c r="D933" s="9" t="s">
        <v>38</v>
      </c>
      <c r="E933" s="9">
        <v>94</v>
      </c>
      <c r="F933" s="9">
        <v>4.7E-2</v>
      </c>
    </row>
    <row r="934" spans="1:6" x14ac:dyDescent="0.2">
      <c r="A934" s="11" t="s">
        <v>42</v>
      </c>
      <c r="B934">
        <v>1</v>
      </c>
      <c r="C934" s="9" t="s">
        <v>8</v>
      </c>
      <c r="D934" s="9" t="s">
        <v>38</v>
      </c>
      <c r="E934" s="9">
        <v>94</v>
      </c>
      <c r="F934" s="9">
        <v>2.8000000000000001E-2</v>
      </c>
    </row>
    <row r="935" spans="1:6" x14ac:dyDescent="0.2">
      <c r="A935" s="11" t="s">
        <v>42</v>
      </c>
      <c r="B935">
        <v>1</v>
      </c>
      <c r="C935" s="9" t="s">
        <v>6</v>
      </c>
      <c r="D935" s="9" t="s">
        <v>38</v>
      </c>
      <c r="E935" s="9">
        <v>140</v>
      </c>
      <c r="F935" s="9">
        <v>3.4000000000000002E-2</v>
      </c>
    </row>
    <row r="936" spans="1:6" x14ac:dyDescent="0.2">
      <c r="A936" s="11" t="s">
        <v>42</v>
      </c>
      <c r="B936">
        <v>1</v>
      </c>
      <c r="C936" s="9" t="s">
        <v>7</v>
      </c>
      <c r="D936" s="9" t="s">
        <v>38</v>
      </c>
      <c r="E936" s="9">
        <v>140</v>
      </c>
      <c r="F936" s="9" t="s">
        <v>29</v>
      </c>
    </row>
    <row r="937" spans="1:6" x14ac:dyDescent="0.2">
      <c r="A937" s="11" t="s">
        <v>42</v>
      </c>
      <c r="B937">
        <v>1</v>
      </c>
      <c r="C937" s="9" t="s">
        <v>8</v>
      </c>
      <c r="D937" s="9" t="s">
        <v>38</v>
      </c>
      <c r="E937" s="9">
        <v>140</v>
      </c>
      <c r="F937" s="9">
        <v>4.9000000000000002E-2</v>
      </c>
    </row>
    <row r="938" spans="1:6" x14ac:dyDescent="0.2">
      <c r="A938" s="11" t="s">
        <v>42</v>
      </c>
      <c r="B938">
        <v>1.5</v>
      </c>
      <c r="C938" s="9" t="s">
        <v>6</v>
      </c>
      <c r="D938" s="9" t="s">
        <v>38</v>
      </c>
      <c r="E938" s="9">
        <v>0</v>
      </c>
      <c r="F938" s="9" t="s">
        <v>29</v>
      </c>
    </row>
    <row r="939" spans="1:6" x14ac:dyDescent="0.2">
      <c r="A939" s="11" t="s">
        <v>42</v>
      </c>
      <c r="B939">
        <v>1.5</v>
      </c>
      <c r="C939" s="9" t="s">
        <v>7</v>
      </c>
      <c r="D939" s="9" t="s">
        <v>38</v>
      </c>
      <c r="E939" s="9">
        <v>0</v>
      </c>
      <c r="F939" s="9" t="s">
        <v>29</v>
      </c>
    </row>
    <row r="940" spans="1:6" x14ac:dyDescent="0.2">
      <c r="A940" s="11" t="s">
        <v>42</v>
      </c>
      <c r="B940">
        <v>1.5</v>
      </c>
      <c r="C940" s="9" t="s">
        <v>8</v>
      </c>
      <c r="D940" s="9" t="s">
        <v>38</v>
      </c>
      <c r="E940" s="9">
        <v>0</v>
      </c>
      <c r="F940" s="9" t="s">
        <v>29</v>
      </c>
    </row>
    <row r="941" spans="1:6" x14ac:dyDescent="0.2">
      <c r="A941" s="11" t="s">
        <v>42</v>
      </c>
      <c r="B941">
        <v>1.5</v>
      </c>
      <c r="C941" s="9" t="s">
        <v>6</v>
      </c>
      <c r="D941" s="9" t="s">
        <v>38</v>
      </c>
      <c r="E941" s="9">
        <v>94</v>
      </c>
      <c r="F941" s="9">
        <v>8.0000000000000002E-3</v>
      </c>
    </row>
    <row r="942" spans="1:6" x14ac:dyDescent="0.2">
      <c r="A942" s="11" t="s">
        <v>42</v>
      </c>
      <c r="B942">
        <v>1.5</v>
      </c>
      <c r="C942" s="9" t="s">
        <v>7</v>
      </c>
      <c r="D942" s="9" t="s">
        <v>38</v>
      </c>
      <c r="E942" s="9">
        <v>94</v>
      </c>
      <c r="F942" s="9">
        <v>1.4999999999999999E-2</v>
      </c>
    </row>
    <row r="943" spans="1:6" x14ac:dyDescent="0.2">
      <c r="A943" s="11" t="s">
        <v>42</v>
      </c>
      <c r="B943">
        <v>1.5</v>
      </c>
      <c r="C943" s="9" t="s">
        <v>8</v>
      </c>
      <c r="D943" s="9" t="s">
        <v>38</v>
      </c>
      <c r="E943" s="9">
        <v>94</v>
      </c>
      <c r="F943" s="9">
        <v>1.9E-2</v>
      </c>
    </row>
    <row r="944" spans="1:6" x14ac:dyDescent="0.2">
      <c r="A944" s="11" t="s">
        <v>42</v>
      </c>
      <c r="B944">
        <v>1.5</v>
      </c>
      <c r="C944" s="9" t="s">
        <v>6</v>
      </c>
      <c r="D944" s="9" t="s">
        <v>38</v>
      </c>
      <c r="E944" s="9">
        <v>140</v>
      </c>
      <c r="F944" s="9" t="s">
        <v>29</v>
      </c>
    </row>
    <row r="945" spans="1:6" x14ac:dyDescent="0.2">
      <c r="A945" s="11" t="s">
        <v>42</v>
      </c>
      <c r="B945">
        <v>1.5</v>
      </c>
      <c r="C945" s="9" t="s">
        <v>7</v>
      </c>
      <c r="D945" s="9" t="s">
        <v>38</v>
      </c>
      <c r="E945" s="9">
        <v>140</v>
      </c>
      <c r="F945" s="9" t="s">
        <v>29</v>
      </c>
    </row>
    <row r="946" spans="1:6" x14ac:dyDescent="0.2">
      <c r="A946" s="11" t="s">
        <v>42</v>
      </c>
      <c r="B946">
        <v>1.5</v>
      </c>
      <c r="C946" s="9" t="s">
        <v>8</v>
      </c>
      <c r="D946" s="9" t="s">
        <v>38</v>
      </c>
      <c r="E946" s="9">
        <v>140</v>
      </c>
      <c r="F946" s="9" t="s">
        <v>29</v>
      </c>
    </row>
    <row r="947" spans="1:6" x14ac:dyDescent="0.2">
      <c r="A947" s="11" t="s">
        <v>42</v>
      </c>
      <c r="B947">
        <v>0</v>
      </c>
      <c r="C947" s="9" t="s">
        <v>6</v>
      </c>
      <c r="D947" s="9" t="s">
        <v>38</v>
      </c>
      <c r="E947" s="9">
        <v>0</v>
      </c>
      <c r="F947" s="9" t="s">
        <v>29</v>
      </c>
    </row>
    <row r="948" spans="1:6" x14ac:dyDescent="0.2">
      <c r="A948" s="11" t="s">
        <v>42</v>
      </c>
      <c r="B948">
        <v>0</v>
      </c>
      <c r="C948" s="9" t="s">
        <v>7</v>
      </c>
      <c r="D948" s="9" t="s">
        <v>38</v>
      </c>
      <c r="E948" s="9">
        <v>0</v>
      </c>
      <c r="F948" s="9" t="s">
        <v>29</v>
      </c>
    </row>
    <row r="949" spans="1:6" x14ac:dyDescent="0.2">
      <c r="A949" s="11" t="s">
        <v>42</v>
      </c>
      <c r="B949">
        <v>0</v>
      </c>
      <c r="C949" s="9" t="s">
        <v>8</v>
      </c>
      <c r="D949" s="9" t="s">
        <v>38</v>
      </c>
      <c r="E949" s="9">
        <v>0</v>
      </c>
      <c r="F949" s="9" t="s">
        <v>29</v>
      </c>
    </row>
    <row r="950" spans="1:6" x14ac:dyDescent="0.2">
      <c r="A950" s="11" t="s">
        <v>42</v>
      </c>
      <c r="B950">
        <v>0</v>
      </c>
      <c r="C950" s="9" t="s">
        <v>6</v>
      </c>
      <c r="D950" s="9" t="s">
        <v>38</v>
      </c>
      <c r="E950" s="9">
        <v>94</v>
      </c>
      <c r="F950" s="9" t="s">
        <v>29</v>
      </c>
    </row>
    <row r="951" spans="1:6" x14ac:dyDescent="0.2">
      <c r="A951" s="11" t="s">
        <v>42</v>
      </c>
      <c r="B951">
        <v>0</v>
      </c>
      <c r="C951" s="9" t="s">
        <v>7</v>
      </c>
      <c r="D951" s="9" t="s">
        <v>38</v>
      </c>
      <c r="E951" s="9">
        <v>94</v>
      </c>
      <c r="F951" s="9" t="s">
        <v>29</v>
      </c>
    </row>
    <row r="952" spans="1:6" x14ac:dyDescent="0.2">
      <c r="A952" s="11" t="s">
        <v>42</v>
      </c>
      <c r="B952">
        <v>0</v>
      </c>
      <c r="C952" s="9" t="s">
        <v>8</v>
      </c>
      <c r="D952" s="9" t="s">
        <v>38</v>
      </c>
      <c r="E952" s="9">
        <v>94</v>
      </c>
      <c r="F952" s="9" t="s">
        <v>29</v>
      </c>
    </row>
    <row r="953" spans="1:6" x14ac:dyDescent="0.2">
      <c r="A953" s="11" t="s">
        <v>42</v>
      </c>
      <c r="B953">
        <v>0</v>
      </c>
      <c r="C953" s="9" t="s">
        <v>6</v>
      </c>
      <c r="D953" s="9" t="s">
        <v>38</v>
      </c>
      <c r="E953" s="9">
        <v>140</v>
      </c>
      <c r="F953" s="9" t="s">
        <v>29</v>
      </c>
    </row>
    <row r="954" spans="1:6" x14ac:dyDescent="0.2">
      <c r="A954" s="11" t="s">
        <v>42</v>
      </c>
      <c r="B954">
        <v>0</v>
      </c>
      <c r="C954" s="9" t="s">
        <v>7</v>
      </c>
      <c r="D954" s="9" t="s">
        <v>38</v>
      </c>
      <c r="E954" s="9">
        <v>140</v>
      </c>
      <c r="F954" s="9" t="s">
        <v>29</v>
      </c>
    </row>
    <row r="955" spans="1:6" x14ac:dyDescent="0.2">
      <c r="A955" s="11" t="s">
        <v>42</v>
      </c>
      <c r="B955">
        <v>0</v>
      </c>
      <c r="C955" s="9" t="s">
        <v>8</v>
      </c>
      <c r="D955" s="9" t="s">
        <v>38</v>
      </c>
      <c r="E955" s="9">
        <v>140</v>
      </c>
      <c r="F955" s="9" t="s">
        <v>29</v>
      </c>
    </row>
    <row r="956" spans="1:6" x14ac:dyDescent="0.2">
      <c r="A956" s="11" t="s">
        <v>42</v>
      </c>
      <c r="B956" s="11">
        <v>0.25</v>
      </c>
      <c r="C956" t="s">
        <v>6</v>
      </c>
      <c r="D956" s="11" t="s">
        <v>18</v>
      </c>
      <c r="E956" s="9">
        <v>0</v>
      </c>
      <c r="F956" s="9">
        <v>0.224</v>
      </c>
    </row>
    <row r="957" spans="1:6" x14ac:dyDescent="0.2">
      <c r="A957" s="11" t="s">
        <v>42</v>
      </c>
      <c r="B957" s="11">
        <v>0.25</v>
      </c>
      <c r="C957" t="s">
        <v>7</v>
      </c>
      <c r="D957" s="11" t="s">
        <v>18</v>
      </c>
      <c r="E957" s="9">
        <v>0</v>
      </c>
      <c r="F957" s="9">
        <v>0.38</v>
      </c>
    </row>
    <row r="958" spans="1:6" x14ac:dyDescent="0.2">
      <c r="A958" s="11" t="s">
        <v>42</v>
      </c>
      <c r="B958" s="11">
        <v>0.25</v>
      </c>
      <c r="C958" t="s">
        <v>8</v>
      </c>
      <c r="D958" s="11" t="s">
        <v>18</v>
      </c>
      <c r="E958" s="9">
        <v>0</v>
      </c>
      <c r="F958" s="9">
        <v>0.45200000000000001</v>
      </c>
    </row>
    <row r="959" spans="1:6" x14ac:dyDescent="0.2">
      <c r="A959" s="11" t="s">
        <v>42</v>
      </c>
      <c r="B959" s="11">
        <v>0.25</v>
      </c>
      <c r="C959" t="s">
        <v>6</v>
      </c>
      <c r="D959" s="11" t="s">
        <v>18</v>
      </c>
      <c r="E959" s="9">
        <v>140</v>
      </c>
      <c r="F959" s="9">
        <v>2.7949999999999999</v>
      </c>
    </row>
    <row r="960" spans="1:6" x14ac:dyDescent="0.2">
      <c r="A960" s="11" t="s">
        <v>42</v>
      </c>
      <c r="B960" s="11">
        <v>0.25</v>
      </c>
      <c r="C960" t="s">
        <v>7</v>
      </c>
      <c r="D960" s="11" t="s">
        <v>18</v>
      </c>
      <c r="E960" s="9">
        <v>140</v>
      </c>
      <c r="F960" s="9">
        <v>3.1890000000000001</v>
      </c>
    </row>
    <row r="961" spans="1:6" x14ac:dyDescent="0.2">
      <c r="A961" s="11" t="s">
        <v>42</v>
      </c>
      <c r="B961" s="11">
        <v>0.25</v>
      </c>
      <c r="C961" t="s">
        <v>8</v>
      </c>
      <c r="D961" s="11" t="s">
        <v>18</v>
      </c>
      <c r="E961" s="9">
        <v>140</v>
      </c>
      <c r="F961" s="9">
        <v>2.9830000000000001</v>
      </c>
    </row>
    <row r="962" spans="1:6" x14ac:dyDescent="0.2">
      <c r="A962" s="11" t="s">
        <v>42</v>
      </c>
      <c r="B962" s="11">
        <v>0.5</v>
      </c>
      <c r="C962" t="s">
        <v>6</v>
      </c>
      <c r="D962" s="11" t="s">
        <v>18</v>
      </c>
      <c r="E962" s="9">
        <v>0</v>
      </c>
      <c r="F962" s="9">
        <v>0.36599999999999999</v>
      </c>
    </row>
    <row r="963" spans="1:6" x14ac:dyDescent="0.2">
      <c r="A963" s="11" t="s">
        <v>42</v>
      </c>
      <c r="B963" s="11">
        <v>0.5</v>
      </c>
      <c r="C963" t="s">
        <v>7</v>
      </c>
      <c r="D963" s="11" t="s">
        <v>18</v>
      </c>
      <c r="E963" s="9">
        <v>0</v>
      </c>
      <c r="F963" s="9">
        <v>0.45900000000000002</v>
      </c>
    </row>
    <row r="964" spans="1:6" x14ac:dyDescent="0.2">
      <c r="A964" s="11" t="s">
        <v>42</v>
      </c>
      <c r="B964" s="11">
        <v>0.5</v>
      </c>
      <c r="C964" t="s">
        <v>8</v>
      </c>
      <c r="D964" s="11" t="s">
        <v>18</v>
      </c>
      <c r="E964" s="9">
        <v>0</v>
      </c>
      <c r="F964" s="9">
        <v>0.56000000000000005</v>
      </c>
    </row>
    <row r="965" spans="1:6" x14ac:dyDescent="0.2">
      <c r="A965" s="11" t="s">
        <v>42</v>
      </c>
      <c r="B965" s="11">
        <v>0.5</v>
      </c>
      <c r="C965" t="s">
        <v>6</v>
      </c>
      <c r="D965" s="11" t="s">
        <v>18</v>
      </c>
      <c r="E965" s="9">
        <v>140</v>
      </c>
      <c r="F965" s="9">
        <v>3.2389999999999999</v>
      </c>
    </row>
    <row r="966" spans="1:6" x14ac:dyDescent="0.2">
      <c r="A966" s="11" t="s">
        <v>42</v>
      </c>
      <c r="B966" s="11">
        <v>0.5</v>
      </c>
      <c r="C966" t="s">
        <v>7</v>
      </c>
      <c r="D966" s="11" t="s">
        <v>18</v>
      </c>
      <c r="E966" s="9">
        <v>140</v>
      </c>
      <c r="F966" s="9">
        <v>3.1459999999999999</v>
      </c>
    </row>
    <row r="967" spans="1:6" x14ac:dyDescent="0.2">
      <c r="A967" s="11" t="s">
        <v>42</v>
      </c>
      <c r="B967" s="11">
        <v>0.5</v>
      </c>
      <c r="C967" t="s">
        <v>8</v>
      </c>
      <c r="D967" s="11" t="s">
        <v>18</v>
      </c>
      <c r="E967" s="9">
        <v>140</v>
      </c>
      <c r="F967" s="9">
        <v>3.51</v>
      </c>
    </row>
    <row r="968" spans="1:6" x14ac:dyDescent="0.2">
      <c r="A968" s="11" t="s">
        <v>42</v>
      </c>
      <c r="B968" s="11">
        <v>1</v>
      </c>
      <c r="C968" t="s">
        <v>6</v>
      </c>
      <c r="D968" s="11" t="s">
        <v>18</v>
      </c>
      <c r="E968" s="9">
        <v>0</v>
      </c>
      <c r="F968" s="9">
        <v>0.55600000000000005</v>
      </c>
    </row>
    <row r="969" spans="1:6" x14ac:dyDescent="0.2">
      <c r="A969" s="11" t="s">
        <v>42</v>
      </c>
      <c r="B969" s="11">
        <v>1</v>
      </c>
      <c r="C969" t="s">
        <v>7</v>
      </c>
      <c r="D969" s="11" t="s">
        <v>18</v>
      </c>
      <c r="E969" s="9">
        <v>0</v>
      </c>
      <c r="F969" s="9">
        <v>0.47699999999999998</v>
      </c>
    </row>
    <row r="970" spans="1:6" x14ac:dyDescent="0.2">
      <c r="A970" s="11" t="s">
        <v>42</v>
      </c>
      <c r="B970" s="11">
        <v>1</v>
      </c>
      <c r="C970" t="s">
        <v>8</v>
      </c>
      <c r="D970" s="11" t="s">
        <v>18</v>
      </c>
      <c r="E970" s="9">
        <v>0</v>
      </c>
      <c r="F970" s="9">
        <v>0.82099999999999995</v>
      </c>
    </row>
    <row r="971" spans="1:6" x14ac:dyDescent="0.2">
      <c r="A971" s="11" t="s">
        <v>42</v>
      </c>
      <c r="B971" s="11">
        <v>1</v>
      </c>
      <c r="C971" t="s">
        <v>6</v>
      </c>
      <c r="D971" s="11" t="s">
        <v>18</v>
      </c>
      <c r="E971" s="9">
        <v>140</v>
      </c>
      <c r="F971" s="9">
        <v>1.607</v>
      </c>
    </row>
    <row r="972" spans="1:6" x14ac:dyDescent="0.2">
      <c r="A972" s="11" t="s">
        <v>42</v>
      </c>
      <c r="B972" s="11">
        <v>1</v>
      </c>
      <c r="C972" t="s">
        <v>7</v>
      </c>
      <c r="D972" s="11" t="s">
        <v>18</v>
      </c>
      <c r="E972" s="9">
        <v>140</v>
      </c>
      <c r="F972" s="9">
        <v>1.7470000000000001</v>
      </c>
    </row>
    <row r="973" spans="1:6" x14ac:dyDescent="0.2">
      <c r="A973" s="11" t="s">
        <v>42</v>
      </c>
      <c r="B973" s="11">
        <v>1</v>
      </c>
      <c r="C973" t="s">
        <v>8</v>
      </c>
      <c r="D973" s="11" t="s">
        <v>18</v>
      </c>
      <c r="E973" s="9">
        <v>140</v>
      </c>
      <c r="F973" s="9">
        <v>1.8280000000000001</v>
      </c>
    </row>
    <row r="974" spans="1:6" x14ac:dyDescent="0.2">
      <c r="A974" s="11" t="s">
        <v>42</v>
      </c>
      <c r="B974" s="11">
        <v>1.5</v>
      </c>
      <c r="C974" t="s">
        <v>6</v>
      </c>
      <c r="D974" s="11" t="s">
        <v>18</v>
      </c>
      <c r="E974" s="9">
        <v>140</v>
      </c>
      <c r="F974" s="9">
        <v>3.95</v>
      </c>
    </row>
    <row r="975" spans="1:6" x14ac:dyDescent="0.2">
      <c r="A975" s="11" t="s">
        <v>42</v>
      </c>
      <c r="B975" s="11">
        <v>1.5</v>
      </c>
      <c r="C975" t="s">
        <v>7</v>
      </c>
      <c r="D975" s="11" t="s">
        <v>18</v>
      </c>
      <c r="E975" s="9">
        <v>140</v>
      </c>
      <c r="F975" s="9">
        <v>3.78</v>
      </c>
    </row>
    <row r="976" spans="1:6" x14ac:dyDescent="0.2">
      <c r="A976" s="11" t="s">
        <v>42</v>
      </c>
      <c r="B976" s="11">
        <v>1.5</v>
      </c>
      <c r="C976" t="s">
        <v>8</v>
      </c>
      <c r="D976" s="11" t="s">
        <v>18</v>
      </c>
      <c r="E976" s="9">
        <v>140</v>
      </c>
      <c r="F976" s="9">
        <v>4.2859999999999996</v>
      </c>
    </row>
    <row r="977" spans="1:6" x14ac:dyDescent="0.2">
      <c r="A977" t="s">
        <v>42</v>
      </c>
      <c r="B977">
        <v>1.5</v>
      </c>
      <c r="C977" t="s">
        <v>6</v>
      </c>
      <c r="D977" t="s">
        <v>39</v>
      </c>
      <c r="E977">
        <v>0</v>
      </c>
      <c r="F977">
        <v>146.67277206153847</v>
      </c>
    </row>
    <row r="978" spans="1:6" x14ac:dyDescent="0.2">
      <c r="A978" t="s">
        <v>42</v>
      </c>
      <c r="B978">
        <v>1.5</v>
      </c>
      <c r="C978" t="s">
        <v>7</v>
      </c>
      <c r="D978" t="s">
        <v>39</v>
      </c>
      <c r="E978">
        <v>0</v>
      </c>
      <c r="F978">
        <v>149.62902586153848</v>
      </c>
    </row>
    <row r="979" spans="1:6" x14ac:dyDescent="0.2">
      <c r="A979" t="s">
        <v>42</v>
      </c>
      <c r="B979">
        <v>1.5</v>
      </c>
      <c r="C979" t="s">
        <v>8</v>
      </c>
      <c r="D979" t="s">
        <v>39</v>
      </c>
      <c r="E979">
        <v>0</v>
      </c>
      <c r="F979">
        <v>148.57403146153848</v>
      </c>
    </row>
    <row r="980" spans="1:6" x14ac:dyDescent="0.2">
      <c r="A980" t="s">
        <v>42</v>
      </c>
      <c r="B980">
        <v>1.5</v>
      </c>
      <c r="C980" t="s">
        <v>6</v>
      </c>
      <c r="D980" t="s">
        <v>39</v>
      </c>
      <c r="E980">
        <v>140</v>
      </c>
      <c r="F980">
        <v>4.3170106615384629</v>
      </c>
    </row>
    <row r="981" spans="1:6" x14ac:dyDescent="0.2">
      <c r="A981" t="s">
        <v>42</v>
      </c>
      <c r="B981">
        <v>1.5</v>
      </c>
      <c r="C981" t="s">
        <v>7</v>
      </c>
      <c r="D981" t="s">
        <v>39</v>
      </c>
      <c r="E981">
        <v>140</v>
      </c>
      <c r="F981">
        <v>5.8618948615384614</v>
      </c>
    </row>
    <row r="982" spans="1:6" x14ac:dyDescent="0.2">
      <c r="A982" t="s">
        <v>42</v>
      </c>
      <c r="B982">
        <v>1.5</v>
      </c>
      <c r="C982" t="s">
        <v>8</v>
      </c>
      <c r="D982" t="s">
        <v>39</v>
      </c>
      <c r="E982">
        <v>140</v>
      </c>
      <c r="F982">
        <v>5.3675420615384626</v>
      </c>
    </row>
    <row r="983" spans="1:6" x14ac:dyDescent="0.2">
      <c r="A983" t="s">
        <v>42</v>
      </c>
      <c r="B983">
        <v>1.5</v>
      </c>
      <c r="C983" t="s">
        <v>6</v>
      </c>
      <c r="D983" t="s">
        <v>40</v>
      </c>
      <c r="E983">
        <v>0</v>
      </c>
      <c r="F983">
        <v>0</v>
      </c>
    </row>
    <row r="984" spans="1:6" x14ac:dyDescent="0.2">
      <c r="A984" t="s">
        <v>42</v>
      </c>
      <c r="B984">
        <v>1.5</v>
      </c>
      <c r="C984" t="s">
        <v>7</v>
      </c>
      <c r="D984" t="s">
        <v>40</v>
      </c>
      <c r="E984">
        <v>0</v>
      </c>
      <c r="F984">
        <v>0</v>
      </c>
    </row>
    <row r="985" spans="1:6" x14ac:dyDescent="0.2">
      <c r="A985" t="s">
        <v>42</v>
      </c>
      <c r="B985">
        <v>1.5</v>
      </c>
      <c r="C985" t="s">
        <v>8</v>
      </c>
      <c r="D985" t="s">
        <v>40</v>
      </c>
      <c r="E985">
        <v>0</v>
      </c>
      <c r="F985">
        <v>0</v>
      </c>
    </row>
    <row r="986" spans="1:6" x14ac:dyDescent="0.2">
      <c r="A986" t="s">
        <v>42</v>
      </c>
      <c r="B986">
        <v>1.5</v>
      </c>
      <c r="C986" t="s">
        <v>6</v>
      </c>
      <c r="D986" t="s">
        <v>40</v>
      </c>
      <c r="E986">
        <v>140</v>
      </c>
      <c r="F986">
        <v>170.41708094285715</v>
      </c>
    </row>
    <row r="987" spans="1:6" x14ac:dyDescent="0.2">
      <c r="A987" t="s">
        <v>42</v>
      </c>
      <c r="B987">
        <v>1.5</v>
      </c>
      <c r="C987" t="s">
        <v>7</v>
      </c>
      <c r="D987" t="s">
        <v>40</v>
      </c>
      <c r="E987">
        <v>140</v>
      </c>
      <c r="F987">
        <v>144.12086634285714</v>
      </c>
    </row>
    <row r="988" spans="1:6" x14ac:dyDescent="0.2">
      <c r="A988" t="s">
        <v>42</v>
      </c>
      <c r="B988">
        <v>1.5</v>
      </c>
      <c r="C988" t="s">
        <v>8</v>
      </c>
      <c r="D988" t="s">
        <v>40</v>
      </c>
      <c r="E988">
        <v>140</v>
      </c>
      <c r="F988">
        <v>152.75077974285716</v>
      </c>
    </row>
    <row r="989" spans="1:6" x14ac:dyDescent="0.2">
      <c r="A989" t="s">
        <v>42</v>
      </c>
      <c r="B989">
        <v>0</v>
      </c>
      <c r="C989" t="s">
        <v>6</v>
      </c>
      <c r="D989" t="s">
        <v>39</v>
      </c>
      <c r="E989">
        <v>0</v>
      </c>
      <c r="F989">
        <v>84.608380661538462</v>
      </c>
    </row>
    <row r="990" spans="1:6" x14ac:dyDescent="0.2">
      <c r="A990" t="s">
        <v>42</v>
      </c>
      <c r="B990">
        <v>0</v>
      </c>
      <c r="C990" t="s">
        <v>7</v>
      </c>
      <c r="D990" t="s">
        <v>39</v>
      </c>
      <c r="E990">
        <v>0</v>
      </c>
      <c r="F990">
        <v>70.739988261538457</v>
      </c>
    </row>
    <row r="991" spans="1:6" x14ac:dyDescent="0.2">
      <c r="A991" t="s">
        <v>42</v>
      </c>
      <c r="B991">
        <v>0</v>
      </c>
      <c r="C991" t="s">
        <v>8</v>
      </c>
      <c r="D991" t="s">
        <v>39</v>
      </c>
      <c r="E991">
        <v>0</v>
      </c>
      <c r="F991">
        <v>83.944062461538465</v>
      </c>
    </row>
    <row r="992" spans="1:6" x14ac:dyDescent="0.2">
      <c r="A992" t="s">
        <v>42</v>
      </c>
      <c r="B992">
        <v>0</v>
      </c>
      <c r="C992" t="s">
        <v>6</v>
      </c>
      <c r="D992" t="s">
        <v>39</v>
      </c>
      <c r="E992">
        <v>140</v>
      </c>
      <c r="F992">
        <v>55.332291661538456</v>
      </c>
    </row>
    <row r="993" spans="1:6" x14ac:dyDescent="0.2">
      <c r="A993" t="s">
        <v>42</v>
      </c>
      <c r="B993">
        <v>0</v>
      </c>
      <c r="C993" t="s">
        <v>7</v>
      </c>
      <c r="D993" t="s">
        <v>39</v>
      </c>
      <c r="E993">
        <v>140</v>
      </c>
      <c r="F993">
        <v>50.705124461538453</v>
      </c>
    </row>
    <row r="994" spans="1:6" x14ac:dyDescent="0.2">
      <c r="A994" t="s">
        <v>42</v>
      </c>
      <c r="B994">
        <v>0</v>
      </c>
      <c r="C994" t="s">
        <v>8</v>
      </c>
      <c r="D994" t="s">
        <v>39</v>
      </c>
      <c r="E994">
        <v>140</v>
      </c>
      <c r="F994">
        <v>57.394371661538457</v>
      </c>
    </row>
    <row r="995" spans="1:6" x14ac:dyDescent="0.2">
      <c r="A995" t="s">
        <v>42</v>
      </c>
      <c r="B995">
        <v>0</v>
      </c>
      <c r="C995" t="s">
        <v>6</v>
      </c>
      <c r="D995" t="s">
        <v>40</v>
      </c>
      <c r="E995">
        <v>0</v>
      </c>
      <c r="F995">
        <v>8.376054285714335E-2</v>
      </c>
    </row>
    <row r="996" spans="1:6" x14ac:dyDescent="0.2">
      <c r="A996" t="s">
        <v>42</v>
      </c>
      <c r="B996">
        <v>0</v>
      </c>
      <c r="C996" t="s">
        <v>7</v>
      </c>
      <c r="D996" t="s">
        <v>40</v>
      </c>
      <c r="E996">
        <v>0</v>
      </c>
      <c r="F996">
        <v>0</v>
      </c>
    </row>
    <row r="997" spans="1:6" x14ac:dyDescent="0.2">
      <c r="A997" t="s">
        <v>42</v>
      </c>
      <c r="B997">
        <v>0</v>
      </c>
      <c r="C997" t="s">
        <v>8</v>
      </c>
      <c r="D997" t="s">
        <v>40</v>
      </c>
      <c r="E997">
        <v>0</v>
      </c>
      <c r="F997">
        <v>0</v>
      </c>
    </row>
    <row r="998" spans="1:6" x14ac:dyDescent="0.2">
      <c r="A998" t="s">
        <v>42</v>
      </c>
      <c r="B998">
        <v>0</v>
      </c>
      <c r="C998" t="s">
        <v>6</v>
      </c>
      <c r="D998" t="s">
        <v>40</v>
      </c>
      <c r="E998">
        <v>140</v>
      </c>
      <c r="F998">
        <v>5.5657317428571425</v>
      </c>
    </row>
    <row r="999" spans="1:6" x14ac:dyDescent="0.2">
      <c r="A999" t="s">
        <v>42</v>
      </c>
      <c r="B999">
        <v>0</v>
      </c>
      <c r="C999" t="s">
        <v>7</v>
      </c>
      <c r="D999" t="s">
        <v>40</v>
      </c>
      <c r="E999">
        <v>140</v>
      </c>
      <c r="F999">
        <v>4.9510523428571425</v>
      </c>
    </row>
    <row r="1000" spans="1:6" x14ac:dyDescent="0.2">
      <c r="A1000" t="s">
        <v>42</v>
      </c>
      <c r="B1000">
        <v>0</v>
      </c>
      <c r="C1000" t="s">
        <v>8</v>
      </c>
      <c r="D1000" t="s">
        <v>40</v>
      </c>
      <c r="E1000">
        <v>140</v>
      </c>
      <c r="F1000">
        <v>5.1349947428571436</v>
      </c>
    </row>
    <row r="1001" spans="1:6" x14ac:dyDescent="0.2">
      <c r="A1001" t="s">
        <v>42</v>
      </c>
      <c r="B1001">
        <v>1</v>
      </c>
      <c r="C1001" t="s">
        <v>6</v>
      </c>
      <c r="D1001" t="s">
        <v>39</v>
      </c>
      <c r="E1001">
        <v>0</v>
      </c>
      <c r="F1001">
        <v>51.574150800000005</v>
      </c>
    </row>
    <row r="1002" spans="1:6" x14ac:dyDescent="0.2">
      <c r="A1002" t="s">
        <v>42</v>
      </c>
      <c r="B1002">
        <v>1</v>
      </c>
      <c r="C1002" t="s">
        <v>7</v>
      </c>
      <c r="D1002" t="s">
        <v>39</v>
      </c>
      <c r="E1002">
        <v>0</v>
      </c>
      <c r="F1002">
        <v>52.01902119999999</v>
      </c>
    </row>
    <row r="1003" spans="1:6" x14ac:dyDescent="0.2">
      <c r="A1003" t="s">
        <v>42</v>
      </c>
      <c r="B1003">
        <v>1</v>
      </c>
      <c r="C1003" t="s">
        <v>8</v>
      </c>
      <c r="D1003" t="s">
        <v>39</v>
      </c>
      <c r="E1003">
        <v>0</v>
      </c>
      <c r="F1003">
        <v>45.114888000000001</v>
      </c>
    </row>
    <row r="1004" spans="1:6" x14ac:dyDescent="0.2">
      <c r="A1004" t="s">
        <v>42</v>
      </c>
      <c r="B1004">
        <v>1</v>
      </c>
      <c r="C1004" t="s">
        <v>6</v>
      </c>
      <c r="D1004" t="s">
        <v>39</v>
      </c>
      <c r="E1004">
        <v>140</v>
      </c>
      <c r="F1004">
        <v>0</v>
      </c>
    </row>
    <row r="1005" spans="1:6" x14ac:dyDescent="0.2">
      <c r="A1005" t="s">
        <v>42</v>
      </c>
      <c r="B1005">
        <v>1</v>
      </c>
      <c r="C1005" t="s">
        <v>7</v>
      </c>
      <c r="D1005" t="s">
        <v>39</v>
      </c>
      <c r="E1005">
        <v>140</v>
      </c>
      <c r="F1005">
        <v>0</v>
      </c>
    </row>
    <row r="1006" spans="1:6" x14ac:dyDescent="0.2">
      <c r="A1006" t="s">
        <v>42</v>
      </c>
      <c r="B1006">
        <v>1</v>
      </c>
      <c r="C1006" t="s">
        <v>8</v>
      </c>
      <c r="D1006" t="s">
        <v>39</v>
      </c>
      <c r="E1006">
        <v>140</v>
      </c>
      <c r="F1006">
        <v>0</v>
      </c>
    </row>
    <row r="1007" spans="1:6" x14ac:dyDescent="0.2">
      <c r="A1007" t="s">
        <v>42</v>
      </c>
      <c r="B1007">
        <v>1</v>
      </c>
      <c r="C1007" t="s">
        <v>6</v>
      </c>
      <c r="D1007" t="s">
        <v>40</v>
      </c>
      <c r="E1007">
        <v>0</v>
      </c>
      <c r="F1007">
        <v>0</v>
      </c>
    </row>
    <row r="1008" spans="1:6" x14ac:dyDescent="0.2">
      <c r="A1008" t="s">
        <v>42</v>
      </c>
      <c r="B1008">
        <v>1</v>
      </c>
      <c r="C1008" t="s">
        <v>7</v>
      </c>
      <c r="D1008" t="s">
        <v>40</v>
      </c>
      <c r="E1008">
        <v>0</v>
      </c>
      <c r="F1008">
        <v>0</v>
      </c>
    </row>
    <row r="1009" spans="1:6" x14ac:dyDescent="0.2">
      <c r="A1009" t="s">
        <v>42</v>
      </c>
      <c r="B1009">
        <v>1</v>
      </c>
      <c r="C1009" t="s">
        <v>8</v>
      </c>
      <c r="D1009" t="s">
        <v>40</v>
      </c>
      <c r="E1009">
        <v>0</v>
      </c>
      <c r="F1009">
        <v>0</v>
      </c>
    </row>
    <row r="1010" spans="1:6" x14ac:dyDescent="0.2">
      <c r="A1010" t="s">
        <v>42</v>
      </c>
      <c r="B1010">
        <v>1</v>
      </c>
      <c r="C1010" t="s">
        <v>6</v>
      </c>
      <c r="D1010" t="s">
        <v>40</v>
      </c>
      <c r="E1010">
        <v>140</v>
      </c>
      <c r="F1010">
        <v>99.595638138461553</v>
      </c>
    </row>
    <row r="1011" spans="1:6" x14ac:dyDescent="0.2">
      <c r="A1011" t="s">
        <v>42</v>
      </c>
      <c r="B1011">
        <v>1</v>
      </c>
      <c r="C1011" t="s">
        <v>7</v>
      </c>
      <c r="D1011" t="s">
        <v>40</v>
      </c>
      <c r="E1011">
        <v>140</v>
      </c>
      <c r="F1011">
        <v>110.09957313846155</v>
      </c>
    </row>
    <row r="1012" spans="1:6" x14ac:dyDescent="0.2">
      <c r="A1012" t="s">
        <v>42</v>
      </c>
      <c r="B1012">
        <v>1</v>
      </c>
      <c r="C1012" t="s">
        <v>8</v>
      </c>
      <c r="D1012" t="s">
        <v>40</v>
      </c>
      <c r="E1012">
        <v>140</v>
      </c>
      <c r="F1012">
        <v>110.40341873846154</v>
      </c>
    </row>
    <row r="1013" spans="1:6" x14ac:dyDescent="0.2">
      <c r="A1013" t="s">
        <v>42</v>
      </c>
      <c r="B1013">
        <v>0.5</v>
      </c>
      <c r="C1013" t="s">
        <v>6</v>
      </c>
      <c r="D1013" t="s">
        <v>39</v>
      </c>
      <c r="E1013">
        <v>0</v>
      </c>
      <c r="F1013">
        <v>29.6469722</v>
      </c>
    </row>
    <row r="1014" spans="1:6" x14ac:dyDescent="0.2">
      <c r="A1014" t="s">
        <v>42</v>
      </c>
      <c r="B1014">
        <v>0.5</v>
      </c>
      <c r="C1014" t="s">
        <v>7</v>
      </c>
      <c r="D1014" t="s">
        <v>39</v>
      </c>
      <c r="E1014">
        <v>0</v>
      </c>
      <c r="F1014">
        <v>29.866674000000003</v>
      </c>
    </row>
    <row r="1015" spans="1:6" x14ac:dyDescent="0.2">
      <c r="A1015" t="s">
        <v>42</v>
      </c>
      <c r="B1015">
        <v>0.5</v>
      </c>
      <c r="C1015" t="s">
        <v>8</v>
      </c>
      <c r="D1015" t="s">
        <v>39</v>
      </c>
      <c r="E1015">
        <v>0</v>
      </c>
      <c r="F1015">
        <v>31.732669700000006</v>
      </c>
    </row>
    <row r="1016" spans="1:6" x14ac:dyDescent="0.2">
      <c r="A1016" t="s">
        <v>42</v>
      </c>
      <c r="B1016">
        <v>0.5</v>
      </c>
      <c r="C1016" t="s">
        <v>6</v>
      </c>
      <c r="D1016" t="s">
        <v>39</v>
      </c>
      <c r="E1016">
        <v>140</v>
      </c>
      <c r="F1016">
        <v>0</v>
      </c>
    </row>
    <row r="1017" spans="1:6" x14ac:dyDescent="0.2">
      <c r="A1017" t="s">
        <v>42</v>
      </c>
      <c r="B1017">
        <v>0.5</v>
      </c>
      <c r="C1017" t="s">
        <v>7</v>
      </c>
      <c r="D1017" t="s">
        <v>39</v>
      </c>
      <c r="E1017">
        <v>140</v>
      </c>
      <c r="F1017">
        <v>0</v>
      </c>
    </row>
    <row r="1018" spans="1:6" x14ac:dyDescent="0.2">
      <c r="A1018" t="s">
        <v>42</v>
      </c>
      <c r="B1018">
        <v>0.5</v>
      </c>
      <c r="C1018" t="s">
        <v>8</v>
      </c>
      <c r="D1018" t="s">
        <v>39</v>
      </c>
      <c r="E1018">
        <v>140</v>
      </c>
      <c r="F1018">
        <v>0</v>
      </c>
    </row>
    <row r="1019" spans="1:6" x14ac:dyDescent="0.2">
      <c r="A1019" t="s">
        <v>42</v>
      </c>
      <c r="B1019">
        <v>0.5</v>
      </c>
      <c r="C1019" t="s">
        <v>6</v>
      </c>
      <c r="D1019" t="s">
        <v>40</v>
      </c>
      <c r="E1019">
        <v>0</v>
      </c>
      <c r="F1019">
        <v>0</v>
      </c>
    </row>
    <row r="1020" spans="1:6" x14ac:dyDescent="0.2">
      <c r="A1020" t="s">
        <v>42</v>
      </c>
      <c r="B1020">
        <v>0.5</v>
      </c>
      <c r="C1020" t="s">
        <v>7</v>
      </c>
      <c r="D1020" t="s">
        <v>40</v>
      </c>
      <c r="E1020">
        <v>0</v>
      </c>
      <c r="F1020">
        <v>0</v>
      </c>
    </row>
    <row r="1021" spans="1:6" x14ac:dyDescent="0.2">
      <c r="A1021" t="s">
        <v>42</v>
      </c>
      <c r="B1021">
        <v>0.5</v>
      </c>
      <c r="C1021" t="s">
        <v>8</v>
      </c>
      <c r="D1021" t="s">
        <v>40</v>
      </c>
      <c r="E1021">
        <v>0</v>
      </c>
      <c r="F1021">
        <v>0</v>
      </c>
    </row>
    <row r="1022" spans="1:6" x14ac:dyDescent="0.2">
      <c r="A1022" t="s">
        <v>42</v>
      </c>
      <c r="B1022">
        <v>0.5</v>
      </c>
      <c r="C1022" t="s">
        <v>6</v>
      </c>
      <c r="D1022" t="s">
        <v>40</v>
      </c>
      <c r="E1022">
        <v>140</v>
      </c>
      <c r="F1022">
        <v>55.246287569230766</v>
      </c>
    </row>
    <row r="1023" spans="1:6" x14ac:dyDescent="0.2">
      <c r="A1023" t="s">
        <v>42</v>
      </c>
      <c r="B1023">
        <v>0.5</v>
      </c>
      <c r="C1023" t="s">
        <v>7</v>
      </c>
      <c r="D1023" t="s">
        <v>40</v>
      </c>
      <c r="E1023">
        <v>140</v>
      </c>
      <c r="F1023">
        <v>54.266777069230763</v>
      </c>
    </row>
    <row r="1024" spans="1:6" x14ac:dyDescent="0.2">
      <c r="A1024" t="s">
        <v>42</v>
      </c>
      <c r="B1024">
        <v>0.5</v>
      </c>
      <c r="C1024" t="s">
        <v>8</v>
      </c>
      <c r="D1024" t="s">
        <v>40</v>
      </c>
      <c r="E1024">
        <v>140</v>
      </c>
      <c r="F1024">
        <v>53.969475669230768</v>
      </c>
    </row>
    <row r="1025" spans="1:6" x14ac:dyDescent="0.2">
      <c r="A1025" t="s">
        <v>42</v>
      </c>
      <c r="B1025">
        <v>0.25</v>
      </c>
      <c r="C1025" t="s">
        <v>6</v>
      </c>
      <c r="D1025" t="s">
        <v>39</v>
      </c>
      <c r="E1025">
        <v>0</v>
      </c>
      <c r="F1025">
        <v>16.860652999999999</v>
      </c>
    </row>
    <row r="1026" spans="1:6" x14ac:dyDescent="0.2">
      <c r="A1026" t="s">
        <v>42</v>
      </c>
      <c r="B1026">
        <v>0.25</v>
      </c>
      <c r="C1026" t="s">
        <v>7</v>
      </c>
      <c r="D1026" t="s">
        <v>39</v>
      </c>
      <c r="E1026">
        <v>0</v>
      </c>
      <c r="F1026">
        <v>18.034596149999999</v>
      </c>
    </row>
    <row r="1027" spans="1:6" x14ac:dyDescent="0.2">
      <c r="A1027" t="s">
        <v>42</v>
      </c>
      <c r="B1027">
        <v>0.25</v>
      </c>
      <c r="C1027" t="s">
        <v>8</v>
      </c>
      <c r="D1027" t="s">
        <v>39</v>
      </c>
      <c r="E1027">
        <v>0</v>
      </c>
      <c r="F1027">
        <v>15.775771900000002</v>
      </c>
    </row>
    <row r="1028" spans="1:6" x14ac:dyDescent="0.2">
      <c r="A1028" t="s">
        <v>42</v>
      </c>
      <c r="B1028">
        <v>0.25</v>
      </c>
      <c r="C1028" t="s">
        <v>6</v>
      </c>
      <c r="D1028" t="s">
        <v>39</v>
      </c>
      <c r="E1028">
        <v>140</v>
      </c>
      <c r="F1028">
        <v>0</v>
      </c>
    </row>
    <row r="1029" spans="1:6" x14ac:dyDescent="0.2">
      <c r="A1029" t="s">
        <v>42</v>
      </c>
      <c r="B1029">
        <v>0.25</v>
      </c>
      <c r="C1029" t="s">
        <v>7</v>
      </c>
      <c r="D1029" t="s">
        <v>39</v>
      </c>
      <c r="E1029">
        <v>140</v>
      </c>
      <c r="F1029">
        <v>0</v>
      </c>
    </row>
    <row r="1030" spans="1:6" x14ac:dyDescent="0.2">
      <c r="A1030" t="s">
        <v>42</v>
      </c>
      <c r="B1030">
        <v>0.25</v>
      </c>
      <c r="C1030" t="s">
        <v>8</v>
      </c>
      <c r="D1030" t="s">
        <v>39</v>
      </c>
      <c r="E1030">
        <v>140</v>
      </c>
      <c r="F1030">
        <v>0</v>
      </c>
    </row>
    <row r="1031" spans="1:6" x14ac:dyDescent="0.2">
      <c r="A1031" t="s">
        <v>42</v>
      </c>
      <c r="B1031">
        <v>0.25</v>
      </c>
      <c r="C1031" t="s">
        <v>6</v>
      </c>
      <c r="D1031" t="s">
        <v>40</v>
      </c>
      <c r="E1031">
        <v>0</v>
      </c>
      <c r="F1031">
        <v>0</v>
      </c>
    </row>
    <row r="1032" spans="1:6" x14ac:dyDescent="0.2">
      <c r="A1032" t="s">
        <v>42</v>
      </c>
      <c r="B1032">
        <v>0.25</v>
      </c>
      <c r="C1032" t="s">
        <v>7</v>
      </c>
      <c r="D1032" t="s">
        <v>40</v>
      </c>
      <c r="E1032">
        <v>0</v>
      </c>
      <c r="F1032">
        <v>0</v>
      </c>
    </row>
    <row r="1033" spans="1:6" x14ac:dyDescent="0.2">
      <c r="A1033" t="s">
        <v>42</v>
      </c>
      <c r="B1033">
        <v>0.25</v>
      </c>
      <c r="C1033" t="s">
        <v>8</v>
      </c>
      <c r="D1033" t="s">
        <v>40</v>
      </c>
      <c r="E1033">
        <v>0</v>
      </c>
      <c r="F1033">
        <v>0</v>
      </c>
    </row>
    <row r="1034" spans="1:6" x14ac:dyDescent="0.2">
      <c r="A1034" t="s">
        <v>42</v>
      </c>
      <c r="B1034">
        <v>0.25</v>
      </c>
      <c r="C1034" t="s">
        <v>6</v>
      </c>
      <c r="D1034" t="s">
        <v>40</v>
      </c>
      <c r="E1034">
        <v>140</v>
      </c>
      <c r="F1034">
        <v>20.674619134615384</v>
      </c>
    </row>
    <row r="1035" spans="1:6" x14ac:dyDescent="0.2">
      <c r="A1035" t="s">
        <v>42</v>
      </c>
      <c r="B1035">
        <v>0.25</v>
      </c>
      <c r="C1035" t="s">
        <v>7</v>
      </c>
      <c r="D1035" t="s">
        <v>40</v>
      </c>
      <c r="E1035">
        <v>140</v>
      </c>
      <c r="F1035">
        <v>22.642348334615384</v>
      </c>
    </row>
    <row r="1036" spans="1:6" x14ac:dyDescent="0.2">
      <c r="A1036" t="s">
        <v>42</v>
      </c>
      <c r="B1036">
        <v>0.25</v>
      </c>
      <c r="C1036" t="s">
        <v>8</v>
      </c>
      <c r="D1036" t="s">
        <v>40</v>
      </c>
      <c r="E1036">
        <v>140</v>
      </c>
      <c r="F1036">
        <v>22.519610934615386</v>
      </c>
    </row>
  </sheetData>
  <sortState xmlns:xlrd2="http://schemas.microsoft.com/office/spreadsheetml/2017/richdata2" ref="A2:F1036">
    <sortCondition ref="A2:A10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526E-799D-9D4C-A383-4DEBE76869C6}">
  <dimension ref="A1:T49"/>
  <sheetViews>
    <sheetView topLeftCell="I1" zoomScale="84" workbookViewId="0">
      <selection activeCell="H45" sqref="H42:H45"/>
    </sheetView>
  </sheetViews>
  <sheetFormatPr baseColWidth="10" defaultRowHeight="15" x14ac:dyDescent="0.2"/>
  <sheetData>
    <row r="1" spans="1:20" x14ac:dyDescent="0.2">
      <c r="A1" s="5" t="s">
        <v>2</v>
      </c>
      <c r="B1" s="6" t="s">
        <v>3</v>
      </c>
      <c r="C1" s="7" t="s">
        <v>16</v>
      </c>
      <c r="D1" s="7" t="s">
        <v>4</v>
      </c>
      <c r="E1" s="7" t="s">
        <v>0</v>
      </c>
      <c r="F1" s="7" t="s">
        <v>5</v>
      </c>
      <c r="G1" s="7" t="s">
        <v>17</v>
      </c>
      <c r="H1" s="7" t="s">
        <v>11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18</v>
      </c>
      <c r="R1" s="7" t="s">
        <v>46</v>
      </c>
      <c r="S1" s="7" t="s">
        <v>45</v>
      </c>
      <c r="T1" s="7" t="s">
        <v>44</v>
      </c>
    </row>
    <row r="2" spans="1:20" x14ac:dyDescent="0.2">
      <c r="A2" s="14" t="s">
        <v>15</v>
      </c>
      <c r="B2" s="2" t="s">
        <v>14</v>
      </c>
      <c r="C2" s="9">
        <v>0</v>
      </c>
      <c r="D2" s="9" t="s">
        <v>6</v>
      </c>
      <c r="E2" s="9">
        <v>2E-3</v>
      </c>
      <c r="F2" s="9">
        <v>0</v>
      </c>
      <c r="G2" s="9">
        <f>F2*6.89476</f>
        <v>0</v>
      </c>
      <c r="H2" s="9">
        <v>1.2999999999999999E-2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1.054</v>
      </c>
      <c r="R2" s="9">
        <v>0</v>
      </c>
      <c r="S2" s="9">
        <v>98.834000000000003</v>
      </c>
      <c r="T2" s="9">
        <v>0</v>
      </c>
    </row>
    <row r="3" spans="1:20" x14ac:dyDescent="0.2">
      <c r="A3" s="14" t="s">
        <v>15</v>
      </c>
      <c r="B3" s="2" t="s">
        <v>14</v>
      </c>
      <c r="C3" s="9">
        <v>0</v>
      </c>
      <c r="D3" s="9" t="s">
        <v>7</v>
      </c>
      <c r="E3" s="9">
        <v>0</v>
      </c>
      <c r="F3" s="9">
        <v>0</v>
      </c>
      <c r="G3" s="9">
        <f t="shared" ref="G3:G49" si="0">F3*6.89476</f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1.155</v>
      </c>
      <c r="R3" s="9">
        <v>0</v>
      </c>
      <c r="S3" s="9">
        <v>98.251000000000005</v>
      </c>
      <c r="T3" s="9">
        <v>0</v>
      </c>
    </row>
    <row r="4" spans="1:20" x14ac:dyDescent="0.2">
      <c r="A4" s="14" t="s">
        <v>15</v>
      </c>
      <c r="B4" s="2" t="s">
        <v>14</v>
      </c>
      <c r="C4" s="9">
        <v>0</v>
      </c>
      <c r="D4" s="9" t="s">
        <v>8</v>
      </c>
      <c r="E4" s="9">
        <v>0</v>
      </c>
      <c r="F4" s="9">
        <v>0</v>
      </c>
      <c r="G4" s="9">
        <f t="shared" si="0"/>
        <v>0</v>
      </c>
      <c r="H4" s="9">
        <v>2.7E-2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1.248</v>
      </c>
      <c r="R4" s="9">
        <v>0</v>
      </c>
      <c r="S4" s="9">
        <v>98.698999999999998</v>
      </c>
      <c r="T4" s="9">
        <v>0</v>
      </c>
    </row>
    <row r="5" spans="1:20" x14ac:dyDescent="0.2">
      <c r="A5" s="14" t="s">
        <v>15</v>
      </c>
      <c r="B5" s="2" t="s">
        <v>14</v>
      </c>
      <c r="C5" s="9">
        <v>0</v>
      </c>
      <c r="D5" s="9" t="s">
        <v>9</v>
      </c>
      <c r="E5" s="9">
        <v>0</v>
      </c>
      <c r="F5" s="9">
        <v>0</v>
      </c>
      <c r="G5" s="9">
        <f t="shared" si="0"/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1.206</v>
      </c>
      <c r="R5" s="9">
        <v>0</v>
      </c>
      <c r="S5" s="9">
        <v>100.813</v>
      </c>
      <c r="T5" s="9">
        <v>0</v>
      </c>
    </row>
    <row r="6" spans="1:20" x14ac:dyDescent="0.2">
      <c r="A6" s="14" t="s">
        <v>15</v>
      </c>
      <c r="B6" s="2" t="s">
        <v>13</v>
      </c>
      <c r="C6" s="9">
        <v>0</v>
      </c>
      <c r="D6" s="9" t="s">
        <v>6</v>
      </c>
      <c r="E6" s="9">
        <v>0</v>
      </c>
      <c r="F6" s="9">
        <v>0</v>
      </c>
      <c r="G6" s="9">
        <f t="shared" si="0"/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1.204</v>
      </c>
      <c r="R6" s="9">
        <v>0</v>
      </c>
      <c r="S6" s="9">
        <v>98.406000000000006</v>
      </c>
      <c r="T6" s="9">
        <v>0</v>
      </c>
    </row>
    <row r="7" spans="1:20" x14ac:dyDescent="0.2">
      <c r="A7" s="14" t="s">
        <v>15</v>
      </c>
      <c r="B7" s="2" t="s">
        <v>13</v>
      </c>
      <c r="C7" s="9">
        <v>0</v>
      </c>
      <c r="D7" s="9" t="s">
        <v>7</v>
      </c>
      <c r="E7" s="9">
        <v>0</v>
      </c>
      <c r="F7" s="9">
        <v>0</v>
      </c>
      <c r="G7" s="9">
        <f t="shared" si="0"/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1.272</v>
      </c>
      <c r="R7" s="9">
        <v>0</v>
      </c>
      <c r="S7" s="9">
        <v>99.096000000000004</v>
      </c>
      <c r="T7" s="9">
        <v>0</v>
      </c>
    </row>
    <row r="8" spans="1:20" x14ac:dyDescent="0.2">
      <c r="A8" s="14" t="s">
        <v>15</v>
      </c>
      <c r="B8" s="2" t="s">
        <v>13</v>
      </c>
      <c r="C8" s="9">
        <v>0</v>
      </c>
      <c r="D8" s="9" t="s">
        <v>8</v>
      </c>
      <c r="E8" s="9">
        <v>0</v>
      </c>
      <c r="F8" s="9">
        <v>0</v>
      </c>
      <c r="G8" s="9">
        <f t="shared" si="0"/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1.1970000000000001</v>
      </c>
      <c r="R8" s="9">
        <v>0</v>
      </c>
      <c r="S8" s="9">
        <v>99.004999999999995</v>
      </c>
      <c r="T8" s="9">
        <v>0</v>
      </c>
    </row>
    <row r="9" spans="1:20" x14ac:dyDescent="0.2">
      <c r="A9" s="14" t="s">
        <v>15</v>
      </c>
      <c r="B9" s="6" t="s">
        <v>13</v>
      </c>
      <c r="C9" s="10">
        <v>0</v>
      </c>
      <c r="D9" s="10" t="s">
        <v>9</v>
      </c>
      <c r="E9" s="10">
        <v>0</v>
      </c>
      <c r="F9" s="10">
        <v>0</v>
      </c>
      <c r="G9" s="9">
        <f t="shared" si="0"/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1.9339999999999999</v>
      </c>
      <c r="R9" s="10">
        <v>0</v>
      </c>
      <c r="S9" s="10">
        <v>99.593000000000004</v>
      </c>
      <c r="T9" s="10">
        <v>0</v>
      </c>
    </row>
    <row r="10" spans="1:20" x14ac:dyDescent="0.2">
      <c r="A10" s="14" t="s">
        <v>15</v>
      </c>
      <c r="B10" s="2" t="s">
        <v>14</v>
      </c>
      <c r="C10" s="9">
        <v>48</v>
      </c>
      <c r="D10" s="9" t="s">
        <v>6</v>
      </c>
      <c r="E10" s="9">
        <v>0.52900000000000003</v>
      </c>
      <c r="F10" s="9">
        <v>3.86</v>
      </c>
      <c r="G10" s="9">
        <f t="shared" si="0"/>
        <v>26.613773599999998</v>
      </c>
      <c r="H10" s="9">
        <v>10.561</v>
      </c>
      <c r="I10" s="9">
        <v>0</v>
      </c>
      <c r="J10" s="9">
        <v>1.89E-2</v>
      </c>
      <c r="K10" s="9">
        <v>0</v>
      </c>
      <c r="L10" s="9">
        <v>0</v>
      </c>
      <c r="M10" s="9">
        <v>0</v>
      </c>
      <c r="N10" s="9">
        <v>3.0369999999999999</v>
      </c>
      <c r="O10" s="9">
        <v>0</v>
      </c>
      <c r="P10" s="9">
        <v>2.427</v>
      </c>
      <c r="Q10" s="9">
        <v>6.4550000000000001</v>
      </c>
      <c r="R10" s="9">
        <f>Q10-$Q$2</f>
        <v>5.4009999999999998</v>
      </c>
      <c r="S10" s="9">
        <v>60.545000000000002</v>
      </c>
      <c r="T10" s="9">
        <v>38.289000000000001</v>
      </c>
    </row>
    <row r="11" spans="1:20" x14ac:dyDescent="0.2">
      <c r="A11" s="14" t="s">
        <v>15</v>
      </c>
      <c r="B11" s="2" t="s">
        <v>14</v>
      </c>
      <c r="C11" s="9">
        <v>48</v>
      </c>
      <c r="D11" s="9" t="s">
        <v>7</v>
      </c>
      <c r="E11" s="9">
        <v>0.47799999999999998</v>
      </c>
      <c r="F11" s="9">
        <v>3.56</v>
      </c>
      <c r="G11" s="9">
        <f t="shared" si="0"/>
        <v>24.545345600000001</v>
      </c>
      <c r="H11" s="9">
        <v>9.7449999999999992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2.7349999999999999</v>
      </c>
      <c r="O11" s="9">
        <v>0</v>
      </c>
      <c r="P11" s="9">
        <v>1.8939999999999999</v>
      </c>
      <c r="Q11" s="9">
        <v>6.06</v>
      </c>
      <c r="R11" s="9">
        <f>Q11-$Q$3</f>
        <v>4.9049999999999994</v>
      </c>
      <c r="S11" s="9">
        <v>62.551000000000002</v>
      </c>
      <c r="T11" s="9">
        <v>35.700000000000003</v>
      </c>
    </row>
    <row r="12" spans="1:20" x14ac:dyDescent="0.2">
      <c r="A12" s="14" t="s">
        <v>15</v>
      </c>
      <c r="B12" s="2" t="s">
        <v>14</v>
      </c>
      <c r="C12" s="9">
        <v>48</v>
      </c>
      <c r="D12" s="9" t="s">
        <v>8</v>
      </c>
      <c r="E12" s="9">
        <v>0.51700000000000002</v>
      </c>
      <c r="F12" s="9">
        <v>3.86</v>
      </c>
      <c r="G12" s="9">
        <f t="shared" si="0"/>
        <v>26.613773599999998</v>
      </c>
      <c r="H12" s="9">
        <v>7.6520000000000001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2.2330000000000001</v>
      </c>
      <c r="O12" s="9">
        <v>0</v>
      </c>
      <c r="P12" s="9">
        <v>2.1629999999999998</v>
      </c>
      <c r="Q12" s="9">
        <v>6.3490000000000002</v>
      </c>
      <c r="R12" s="9">
        <f>Q12-$Q$4</f>
        <v>5.101</v>
      </c>
      <c r="S12" s="9">
        <v>61.643000000000001</v>
      </c>
      <c r="T12" s="9">
        <v>37.055999999999997</v>
      </c>
    </row>
    <row r="13" spans="1:20" x14ac:dyDescent="0.2">
      <c r="A13" s="14" t="s">
        <v>15</v>
      </c>
      <c r="B13" s="2" t="s">
        <v>14</v>
      </c>
      <c r="C13" s="9">
        <v>48</v>
      </c>
      <c r="D13" s="9" t="s">
        <v>9</v>
      </c>
      <c r="E13" s="9">
        <v>0.48199999999999998</v>
      </c>
      <c r="F13" s="9">
        <v>3.6</v>
      </c>
      <c r="G13" s="9">
        <f t="shared" si="0"/>
        <v>24.821135999999999</v>
      </c>
      <c r="H13" s="9">
        <v>9.6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2.7050000000000001</v>
      </c>
      <c r="O13" s="9">
        <v>0</v>
      </c>
      <c r="P13" s="9">
        <v>2.0880000000000001</v>
      </c>
      <c r="Q13" s="9">
        <v>6.2119999999999997</v>
      </c>
      <c r="R13" s="9">
        <f>Q13-$Q$5</f>
        <v>5.0060000000000002</v>
      </c>
      <c r="S13" s="9">
        <v>73.186999999999998</v>
      </c>
      <c r="T13" s="9">
        <v>27.626000000000001</v>
      </c>
    </row>
    <row r="14" spans="1:20" x14ac:dyDescent="0.2">
      <c r="A14" s="14" t="s">
        <v>15</v>
      </c>
      <c r="B14" s="2" t="s">
        <v>13</v>
      </c>
      <c r="C14" s="9">
        <v>48</v>
      </c>
      <c r="D14" s="9" t="s">
        <v>6</v>
      </c>
      <c r="E14" s="9">
        <v>0.16600000000000001</v>
      </c>
      <c r="F14" s="9">
        <v>0.84</v>
      </c>
      <c r="G14" s="9">
        <f t="shared" si="0"/>
        <v>5.7915983999999998</v>
      </c>
      <c r="H14" s="9">
        <v>4.1020000000000003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0.83899999999999997</v>
      </c>
      <c r="O14" s="9">
        <v>0</v>
      </c>
      <c r="P14" s="9">
        <v>0.748</v>
      </c>
      <c r="Q14" s="9">
        <v>3.9729999999999999</v>
      </c>
      <c r="R14" s="9">
        <f>Q14-$Q$6</f>
        <v>2.7690000000000001</v>
      </c>
      <c r="S14" s="9">
        <v>90.048000000000002</v>
      </c>
      <c r="T14" s="9">
        <v>8.3580000000000005</v>
      </c>
    </row>
    <row r="15" spans="1:20" x14ac:dyDescent="0.2">
      <c r="A15" s="14" t="s">
        <v>15</v>
      </c>
      <c r="B15" s="2" t="s">
        <v>13</v>
      </c>
      <c r="C15" s="9">
        <v>48</v>
      </c>
      <c r="D15" s="9" t="s">
        <v>7</v>
      </c>
      <c r="E15" s="9">
        <v>0.154</v>
      </c>
      <c r="F15" s="9">
        <v>0.88</v>
      </c>
      <c r="G15" s="9">
        <f t="shared" si="0"/>
        <v>6.0673887999999998</v>
      </c>
      <c r="H15" s="9">
        <v>3.5070000000000001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0.96699999999999997</v>
      </c>
      <c r="O15" s="9">
        <v>0</v>
      </c>
      <c r="P15" s="9">
        <v>0.79800000000000004</v>
      </c>
      <c r="Q15" s="9">
        <v>4.085</v>
      </c>
      <c r="R15" s="9">
        <f>Q15-$Q$7</f>
        <v>2.8129999999999997</v>
      </c>
      <c r="S15" s="9">
        <v>90.747</v>
      </c>
      <c r="T15" s="9">
        <v>8.3490000000000002</v>
      </c>
    </row>
    <row r="16" spans="1:20" x14ac:dyDescent="0.2">
      <c r="A16" s="14" t="s">
        <v>15</v>
      </c>
      <c r="B16" s="2" t="s">
        <v>13</v>
      </c>
      <c r="C16" s="9">
        <v>48</v>
      </c>
      <c r="D16" s="9" t="s">
        <v>8</v>
      </c>
      <c r="E16" s="9">
        <v>0.16400000000000001</v>
      </c>
      <c r="F16" s="9">
        <v>0.8</v>
      </c>
      <c r="G16" s="9">
        <f t="shared" si="0"/>
        <v>5.5158079999999998</v>
      </c>
      <c r="H16" s="9">
        <v>3.75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0.88800000000000001</v>
      </c>
      <c r="O16" s="9">
        <v>0</v>
      </c>
      <c r="P16" s="9">
        <v>0.76400000000000001</v>
      </c>
      <c r="Q16" s="9">
        <v>4.1289999999999996</v>
      </c>
      <c r="R16" s="9">
        <f>Q16-$Q$8</f>
        <v>2.9319999999999995</v>
      </c>
      <c r="S16" s="9">
        <v>89.513999999999996</v>
      </c>
      <c r="T16" s="9">
        <v>9.4909999999999997</v>
      </c>
    </row>
    <row r="17" spans="1:20" x14ac:dyDescent="0.2">
      <c r="A17" s="14" t="s">
        <v>15</v>
      </c>
      <c r="B17" s="6" t="s">
        <v>13</v>
      </c>
      <c r="C17" s="10">
        <v>48</v>
      </c>
      <c r="D17" s="10" t="s">
        <v>9</v>
      </c>
      <c r="E17" s="10">
        <v>0.193</v>
      </c>
      <c r="F17" s="10">
        <v>0.98</v>
      </c>
      <c r="G17" s="9">
        <f t="shared" si="0"/>
        <v>6.7568647999999998</v>
      </c>
      <c r="H17" s="10">
        <v>4.5439999999999996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1.0569999999999999</v>
      </c>
      <c r="O17" s="10">
        <v>0</v>
      </c>
      <c r="P17" s="10">
        <v>0.85699999999999998</v>
      </c>
      <c r="Q17" s="10">
        <v>4.6820000000000004</v>
      </c>
      <c r="R17" s="9">
        <f>Q17-$Q$9</f>
        <v>2.7480000000000002</v>
      </c>
      <c r="S17" s="10">
        <v>87.905000000000001</v>
      </c>
      <c r="T17" s="10">
        <v>11.688000000000001</v>
      </c>
    </row>
    <row r="18" spans="1:20" x14ac:dyDescent="0.2">
      <c r="A18" s="14" t="s">
        <v>15</v>
      </c>
      <c r="B18" s="2" t="s">
        <v>14</v>
      </c>
      <c r="C18" s="9">
        <v>72</v>
      </c>
      <c r="D18" s="9" t="s">
        <v>6</v>
      </c>
      <c r="E18" s="9">
        <v>1.008</v>
      </c>
      <c r="F18" s="9">
        <v>8.52</v>
      </c>
      <c r="G18" s="9">
        <f t="shared" si="0"/>
        <v>58.743355199999996</v>
      </c>
      <c r="H18" s="9">
        <v>16.771000000000001</v>
      </c>
      <c r="I18" s="9">
        <v>0</v>
      </c>
      <c r="J18" s="9">
        <v>1.339</v>
      </c>
      <c r="K18" s="9">
        <v>0</v>
      </c>
      <c r="L18" s="9">
        <v>0</v>
      </c>
      <c r="M18" s="9">
        <v>0</v>
      </c>
      <c r="N18" s="9">
        <v>5.4249999999999998</v>
      </c>
      <c r="O18" s="9">
        <v>0</v>
      </c>
      <c r="P18" s="9">
        <v>6.36</v>
      </c>
      <c r="Q18" s="9">
        <v>11.752000000000001</v>
      </c>
      <c r="R18" s="9">
        <f>Q18-$Q$2</f>
        <v>10.698</v>
      </c>
      <c r="S18" s="9">
        <v>39.228000000000002</v>
      </c>
      <c r="T18" s="9">
        <v>59.606000000000002</v>
      </c>
    </row>
    <row r="19" spans="1:20" x14ac:dyDescent="0.2">
      <c r="A19" s="14" t="s">
        <v>15</v>
      </c>
      <c r="B19" s="2" t="s">
        <v>14</v>
      </c>
      <c r="C19" s="9">
        <v>72</v>
      </c>
      <c r="D19" s="9" t="s">
        <v>7</v>
      </c>
      <c r="E19" s="9">
        <v>1.0089999999999999</v>
      </c>
      <c r="F19" s="9">
        <v>8.2799999999999994</v>
      </c>
      <c r="G19" s="9">
        <f t="shared" si="0"/>
        <v>57.088612799999993</v>
      </c>
      <c r="H19" s="9">
        <v>18.038</v>
      </c>
      <c r="I19" s="9">
        <v>0</v>
      </c>
      <c r="J19" s="9">
        <v>1.3029999999999999</v>
      </c>
      <c r="K19" s="9">
        <v>1E-3</v>
      </c>
      <c r="L19" s="9">
        <v>0</v>
      </c>
      <c r="M19" s="9">
        <v>0</v>
      </c>
      <c r="N19" s="9">
        <v>5.6710000000000003</v>
      </c>
      <c r="O19" s="9">
        <v>0</v>
      </c>
      <c r="P19" s="9">
        <v>7.0519999999999996</v>
      </c>
      <c r="Q19" s="9">
        <v>9.7680000000000007</v>
      </c>
      <c r="R19" s="9">
        <f>Q19-$Q$3</f>
        <v>8.6130000000000013</v>
      </c>
      <c r="S19" s="9">
        <v>40.018000000000001</v>
      </c>
      <c r="T19" s="9">
        <v>58.232999999999997</v>
      </c>
    </row>
    <row r="20" spans="1:20" x14ac:dyDescent="0.2">
      <c r="A20" s="14" t="s">
        <v>15</v>
      </c>
      <c r="B20" s="2" t="s">
        <v>14</v>
      </c>
      <c r="C20" s="9">
        <v>72</v>
      </c>
      <c r="D20" s="9" t="s">
        <v>8</v>
      </c>
      <c r="E20" s="9">
        <v>1.028</v>
      </c>
      <c r="F20" s="9">
        <v>8.56</v>
      </c>
      <c r="G20" s="9">
        <f t="shared" si="0"/>
        <v>59.019145600000002</v>
      </c>
      <c r="H20" s="9">
        <v>21.273</v>
      </c>
      <c r="I20" s="9">
        <v>0</v>
      </c>
      <c r="J20" s="9">
        <v>1.5620000000000001</v>
      </c>
      <c r="K20" s="9">
        <v>0.06</v>
      </c>
      <c r="L20" s="9">
        <v>0</v>
      </c>
      <c r="M20" s="9">
        <v>0</v>
      </c>
      <c r="N20" s="9">
        <v>6.72</v>
      </c>
      <c r="O20" s="9">
        <v>0</v>
      </c>
      <c r="P20" s="9">
        <v>7.5830000000000002</v>
      </c>
      <c r="Q20" s="9">
        <v>10.273999999999999</v>
      </c>
      <c r="R20" s="9">
        <f>Q20-$Q$4</f>
        <v>9.0259999999999998</v>
      </c>
      <c r="S20" s="9">
        <v>38.448</v>
      </c>
      <c r="T20" s="9">
        <v>60.250999999999998</v>
      </c>
    </row>
    <row r="21" spans="1:20" x14ac:dyDescent="0.2">
      <c r="A21" s="14" t="s">
        <v>15</v>
      </c>
      <c r="B21" s="2" t="s">
        <v>14</v>
      </c>
      <c r="C21" s="9">
        <v>72</v>
      </c>
      <c r="D21" s="9" t="s">
        <v>9</v>
      </c>
      <c r="E21" s="9">
        <v>1.0129999999999999</v>
      </c>
      <c r="F21" s="9">
        <v>8.2799999999999994</v>
      </c>
      <c r="G21" s="9">
        <f t="shared" si="0"/>
        <v>57.088612799999993</v>
      </c>
      <c r="H21" s="9">
        <v>16.869</v>
      </c>
      <c r="I21" s="9">
        <v>0</v>
      </c>
      <c r="J21" s="9">
        <v>1.33</v>
      </c>
      <c r="K21" s="9">
        <v>0</v>
      </c>
      <c r="L21" s="9">
        <v>0</v>
      </c>
      <c r="M21" s="9">
        <v>0</v>
      </c>
      <c r="N21" s="9">
        <v>5.6929999999999996</v>
      </c>
      <c r="O21" s="9">
        <v>0</v>
      </c>
      <c r="P21" s="9">
        <v>6.71</v>
      </c>
      <c r="Q21" s="9">
        <v>10.042</v>
      </c>
      <c r="R21" s="9">
        <f>Q21-$Q$5</f>
        <v>8.8360000000000003</v>
      </c>
      <c r="S21" s="9">
        <v>30.431000000000001</v>
      </c>
      <c r="T21" s="9">
        <v>70.382000000000005</v>
      </c>
    </row>
    <row r="22" spans="1:20" x14ac:dyDescent="0.2">
      <c r="A22" s="14" t="s">
        <v>15</v>
      </c>
      <c r="B22" s="2" t="s">
        <v>13</v>
      </c>
      <c r="C22" s="9">
        <v>72</v>
      </c>
      <c r="D22" s="9" t="s">
        <v>6</v>
      </c>
      <c r="E22" s="9">
        <v>0.29299999999999998</v>
      </c>
      <c r="F22" s="9">
        <v>1.6</v>
      </c>
      <c r="G22" s="9">
        <f t="shared" si="0"/>
        <v>11.031616</v>
      </c>
      <c r="H22" s="9">
        <v>5.6059999999999999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2.0329999999999999</v>
      </c>
      <c r="O22" s="9">
        <v>0</v>
      </c>
      <c r="P22" s="9">
        <v>2.452</v>
      </c>
      <c r="Q22" s="9">
        <v>7.3609999999999998</v>
      </c>
      <c r="R22" s="9">
        <f>Q22-$Q$6</f>
        <v>6.157</v>
      </c>
      <c r="S22" s="9">
        <v>79.457999999999998</v>
      </c>
      <c r="T22" s="9">
        <v>18.948</v>
      </c>
    </row>
    <row r="23" spans="1:20" x14ac:dyDescent="0.2">
      <c r="A23" s="14" t="s">
        <v>15</v>
      </c>
      <c r="B23" s="2" t="s">
        <v>13</v>
      </c>
      <c r="C23" s="9">
        <v>72</v>
      </c>
      <c r="D23" s="9" t="s">
        <v>7</v>
      </c>
      <c r="E23" s="9">
        <v>0.29499999999999998</v>
      </c>
      <c r="F23" s="9">
        <v>1.7</v>
      </c>
      <c r="G23" s="9">
        <f t="shared" si="0"/>
        <v>11.721091999999999</v>
      </c>
      <c r="H23" s="9">
        <v>5.327</v>
      </c>
      <c r="I23" s="9">
        <v>0</v>
      </c>
      <c r="J23" s="9">
        <v>3.2000000000000001E-2</v>
      </c>
      <c r="K23" s="9">
        <v>0</v>
      </c>
      <c r="L23" s="9">
        <v>0</v>
      </c>
      <c r="M23" s="9">
        <v>0</v>
      </c>
      <c r="N23" s="9">
        <v>1.964</v>
      </c>
      <c r="O23" s="9">
        <v>0</v>
      </c>
      <c r="P23" s="9">
        <v>2.3220000000000001</v>
      </c>
      <c r="Q23" s="9">
        <v>7.46</v>
      </c>
      <c r="R23" s="9">
        <f>Q23-$Q$7</f>
        <v>6.1879999999999997</v>
      </c>
      <c r="S23" s="9">
        <v>80.382000000000005</v>
      </c>
      <c r="T23" s="9">
        <v>18.713999999999999</v>
      </c>
    </row>
    <row r="24" spans="1:20" x14ac:dyDescent="0.2">
      <c r="A24" s="14" t="s">
        <v>15</v>
      </c>
      <c r="B24" s="2" t="s">
        <v>13</v>
      </c>
      <c r="C24" s="9">
        <v>72</v>
      </c>
      <c r="D24" s="9" t="s">
        <v>8</v>
      </c>
      <c r="E24" s="9">
        <v>0.31900000000000001</v>
      </c>
      <c r="F24" s="9">
        <v>1.7</v>
      </c>
      <c r="G24" s="9">
        <f t="shared" si="0"/>
        <v>11.721091999999999</v>
      </c>
      <c r="H24" s="9">
        <v>4.7220000000000004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1.964</v>
      </c>
      <c r="O24" s="9">
        <v>0</v>
      </c>
      <c r="P24" s="9">
        <v>2.6749999999999998</v>
      </c>
      <c r="Q24" s="9">
        <v>7.7779999999999996</v>
      </c>
      <c r="R24" s="9">
        <f>Q24-$Q$8</f>
        <v>6.5809999999999995</v>
      </c>
      <c r="S24" s="9">
        <v>79.13</v>
      </c>
      <c r="T24" s="9">
        <v>19.875</v>
      </c>
    </row>
    <row r="25" spans="1:20" x14ac:dyDescent="0.2">
      <c r="A25" s="14" t="s">
        <v>15</v>
      </c>
      <c r="B25" s="6" t="s">
        <v>13</v>
      </c>
      <c r="C25" s="10">
        <v>72</v>
      </c>
      <c r="D25" s="10" t="s">
        <v>9</v>
      </c>
      <c r="E25" s="10">
        <v>0.32500000000000001</v>
      </c>
      <c r="F25" s="10">
        <v>1.8</v>
      </c>
      <c r="G25" s="9">
        <f t="shared" si="0"/>
        <v>12.410568</v>
      </c>
      <c r="H25" s="10">
        <v>4.9770000000000003</v>
      </c>
      <c r="I25" s="10">
        <v>0</v>
      </c>
      <c r="J25" s="10">
        <v>6.9000000000000006E-2</v>
      </c>
      <c r="K25" s="10">
        <v>0</v>
      </c>
      <c r="L25" s="10">
        <v>0</v>
      </c>
      <c r="M25" s="10">
        <v>0</v>
      </c>
      <c r="N25" s="10">
        <v>1.837</v>
      </c>
      <c r="O25" s="10">
        <v>0</v>
      </c>
      <c r="P25" s="10">
        <v>2.5299999999999998</v>
      </c>
      <c r="Q25" s="10">
        <v>7.9539999999999997</v>
      </c>
      <c r="R25" s="9">
        <f>Q25-$Q$9</f>
        <v>6.02</v>
      </c>
      <c r="S25" s="10">
        <v>78.498999999999995</v>
      </c>
      <c r="T25" s="10">
        <v>21.094000000000001</v>
      </c>
    </row>
    <row r="26" spans="1:20" x14ac:dyDescent="0.2">
      <c r="A26" s="14" t="s">
        <v>15</v>
      </c>
      <c r="B26" s="2" t="s">
        <v>14</v>
      </c>
      <c r="C26" s="9">
        <v>96</v>
      </c>
      <c r="D26" s="9" t="s">
        <v>6</v>
      </c>
      <c r="E26" s="9">
        <v>1.002</v>
      </c>
      <c r="F26" s="9">
        <v>10.039999999999999</v>
      </c>
      <c r="G26" s="9">
        <f t="shared" si="0"/>
        <v>69.223390399999985</v>
      </c>
      <c r="H26" s="9">
        <v>21.472999999999999</v>
      </c>
      <c r="I26" s="9">
        <v>0</v>
      </c>
      <c r="J26" s="9">
        <v>3.0590000000000002</v>
      </c>
      <c r="K26" s="9">
        <v>0.1497</v>
      </c>
      <c r="L26" s="9">
        <v>0</v>
      </c>
      <c r="M26" s="9">
        <v>0</v>
      </c>
      <c r="N26" s="9">
        <v>7.5940000000000003</v>
      </c>
      <c r="O26" s="9">
        <v>0</v>
      </c>
      <c r="P26" s="9">
        <v>9.827</v>
      </c>
      <c r="Q26" s="9">
        <v>13.574</v>
      </c>
      <c r="R26" s="9">
        <f>Q26-$Q$2</f>
        <v>12.52</v>
      </c>
      <c r="S26" s="9">
        <v>23.577000000000002</v>
      </c>
      <c r="T26" s="9">
        <v>75.257000000000005</v>
      </c>
    </row>
    <row r="27" spans="1:20" x14ac:dyDescent="0.2">
      <c r="A27" s="14" t="s">
        <v>15</v>
      </c>
      <c r="B27" s="2" t="s">
        <v>14</v>
      </c>
      <c r="C27" s="9">
        <v>96</v>
      </c>
      <c r="D27" s="9" t="s">
        <v>7</v>
      </c>
      <c r="E27" s="9">
        <v>1.0169999999999999</v>
      </c>
      <c r="F27" s="9">
        <v>9.92</v>
      </c>
      <c r="G27" s="9">
        <f t="shared" si="0"/>
        <v>68.396019199999998</v>
      </c>
      <c r="H27" s="9">
        <v>20.503</v>
      </c>
      <c r="I27" s="9">
        <v>0</v>
      </c>
      <c r="J27" s="9">
        <v>2.6640000000000001</v>
      </c>
      <c r="K27" s="9">
        <v>0.1158</v>
      </c>
      <c r="L27" s="9">
        <v>0</v>
      </c>
      <c r="M27" s="9">
        <v>0</v>
      </c>
      <c r="N27" s="9">
        <v>7.1749999999999998</v>
      </c>
      <c r="O27" s="9">
        <v>0</v>
      </c>
      <c r="P27" s="9">
        <v>9.84</v>
      </c>
      <c r="Q27" s="9">
        <v>14.124000000000001</v>
      </c>
      <c r="R27" s="9">
        <f>Q27-$Q$3</f>
        <v>12.969000000000001</v>
      </c>
      <c r="S27" s="9">
        <v>24.477</v>
      </c>
      <c r="T27" s="9">
        <v>73.774000000000001</v>
      </c>
    </row>
    <row r="28" spans="1:20" x14ac:dyDescent="0.2">
      <c r="A28" s="14" t="s">
        <v>15</v>
      </c>
      <c r="B28" s="2" t="s">
        <v>14</v>
      </c>
      <c r="C28" s="9">
        <v>96</v>
      </c>
      <c r="D28" s="9" t="s">
        <v>8</v>
      </c>
      <c r="E28" s="9">
        <v>1.022</v>
      </c>
      <c r="F28" s="9">
        <v>10.16</v>
      </c>
      <c r="G28" s="9">
        <f t="shared" si="0"/>
        <v>70.050761600000001</v>
      </c>
      <c r="H28" s="9">
        <v>24.170999999999999</v>
      </c>
      <c r="I28" s="9">
        <v>0</v>
      </c>
      <c r="J28" s="9">
        <v>3.5019999999999998</v>
      </c>
      <c r="K28" s="9">
        <v>0.17050000000000001</v>
      </c>
      <c r="L28" s="9">
        <v>0</v>
      </c>
      <c r="M28" s="9">
        <v>0</v>
      </c>
      <c r="N28" s="9">
        <v>8.0389999999999997</v>
      </c>
      <c r="O28" s="9">
        <v>0</v>
      </c>
      <c r="P28" s="9">
        <v>10.773</v>
      </c>
      <c r="Q28" s="9">
        <v>14.298</v>
      </c>
      <c r="R28" s="9">
        <f>Q28-$Q$4</f>
        <v>13.05</v>
      </c>
      <c r="S28" s="9">
        <v>22.013999999999999</v>
      </c>
      <c r="T28" s="9">
        <v>76.685000000000002</v>
      </c>
    </row>
    <row r="29" spans="1:20" x14ac:dyDescent="0.2">
      <c r="A29" s="14" t="s">
        <v>15</v>
      </c>
      <c r="B29" s="2" t="s">
        <v>14</v>
      </c>
      <c r="C29" s="9">
        <v>96</v>
      </c>
      <c r="D29" s="9" t="s">
        <v>9</v>
      </c>
      <c r="E29" s="9">
        <v>1.0049999999999999</v>
      </c>
      <c r="F29" s="9">
        <v>9.94</v>
      </c>
      <c r="G29" s="9">
        <f t="shared" si="0"/>
        <v>68.5339144</v>
      </c>
      <c r="H29" s="9">
        <v>21.599</v>
      </c>
      <c r="I29" s="9">
        <v>0</v>
      </c>
      <c r="J29" s="9">
        <v>2.9689999999999999</v>
      </c>
      <c r="K29" s="9">
        <v>0.1409</v>
      </c>
      <c r="L29" s="9">
        <v>0</v>
      </c>
      <c r="M29" s="9">
        <v>0</v>
      </c>
      <c r="N29" s="9">
        <v>7.3689999999999998</v>
      </c>
      <c r="O29" s="9">
        <v>0</v>
      </c>
      <c r="P29" s="9">
        <v>9.6379999999999999</v>
      </c>
      <c r="Q29" s="9">
        <v>14.179</v>
      </c>
      <c r="R29" s="9">
        <f>Q29-$Q$5</f>
        <v>12.973000000000001</v>
      </c>
      <c r="S29" s="9">
        <v>23.36</v>
      </c>
      <c r="T29" s="9">
        <v>77.453000000000003</v>
      </c>
    </row>
    <row r="30" spans="1:20" x14ac:dyDescent="0.2">
      <c r="A30" s="14" t="s">
        <v>15</v>
      </c>
      <c r="B30" s="2" t="s">
        <v>13</v>
      </c>
      <c r="C30" s="9">
        <v>96</v>
      </c>
      <c r="D30" s="9" t="s">
        <v>6</v>
      </c>
      <c r="E30" s="9">
        <v>0.28199999999999997</v>
      </c>
      <c r="F30" s="9">
        <v>1.92</v>
      </c>
      <c r="G30" s="9">
        <f t="shared" si="0"/>
        <v>13.2379392</v>
      </c>
      <c r="H30" s="9">
        <v>5.5359999999999996</v>
      </c>
      <c r="I30" s="9">
        <v>0</v>
      </c>
      <c r="J30" s="9">
        <v>0.19500000000000001</v>
      </c>
      <c r="K30" s="9">
        <v>0</v>
      </c>
      <c r="L30" s="9">
        <v>0</v>
      </c>
      <c r="M30" s="9">
        <v>0</v>
      </c>
      <c r="N30" s="9">
        <v>2.4710000000000001</v>
      </c>
      <c r="O30" s="9">
        <v>0</v>
      </c>
      <c r="P30" s="9">
        <v>3.95</v>
      </c>
      <c r="Q30" s="9">
        <v>9.7080000000000002</v>
      </c>
      <c r="R30" s="9">
        <f>Q30-$Q$6</f>
        <v>8.5039999999999996</v>
      </c>
      <c r="S30" s="9">
        <v>75.554000000000002</v>
      </c>
      <c r="T30" s="9">
        <v>22.852</v>
      </c>
    </row>
    <row r="31" spans="1:20" x14ac:dyDescent="0.2">
      <c r="A31" s="14" t="s">
        <v>15</v>
      </c>
      <c r="B31" s="2" t="s">
        <v>13</v>
      </c>
      <c r="C31" s="9">
        <v>96</v>
      </c>
      <c r="D31" s="9" t="s">
        <v>7</v>
      </c>
      <c r="E31" s="9">
        <v>0.30399999999999999</v>
      </c>
      <c r="F31" s="9">
        <v>2.14</v>
      </c>
      <c r="G31" s="9">
        <f t="shared" si="0"/>
        <v>14.7547864</v>
      </c>
      <c r="H31" s="9">
        <v>6.0460000000000003</v>
      </c>
      <c r="I31" s="9">
        <v>0</v>
      </c>
      <c r="J31" s="9">
        <v>0.39400000000000002</v>
      </c>
      <c r="K31" s="9">
        <v>0</v>
      </c>
      <c r="L31" s="9">
        <v>0</v>
      </c>
      <c r="M31" s="9">
        <v>0</v>
      </c>
      <c r="N31" s="9">
        <v>2.2349999999999999</v>
      </c>
      <c r="O31" s="9">
        <v>0</v>
      </c>
      <c r="P31" s="9">
        <v>3.7370000000000001</v>
      </c>
      <c r="Q31" s="9">
        <v>9.6829999999999998</v>
      </c>
      <c r="R31" s="9">
        <f>Q31-$Q$7</f>
        <v>8.4109999999999996</v>
      </c>
      <c r="S31" s="9">
        <v>74.891000000000005</v>
      </c>
      <c r="T31" s="9">
        <v>24.204999999999998</v>
      </c>
    </row>
    <row r="32" spans="1:20" x14ac:dyDescent="0.2">
      <c r="A32" s="14" t="s">
        <v>15</v>
      </c>
      <c r="B32" s="2" t="s">
        <v>13</v>
      </c>
      <c r="C32" s="9">
        <v>96</v>
      </c>
      <c r="D32" s="9" t="s">
        <v>8</v>
      </c>
      <c r="E32" s="9">
        <v>0.314</v>
      </c>
      <c r="F32" s="9">
        <v>2.2000000000000002</v>
      </c>
      <c r="G32" s="9">
        <f t="shared" si="0"/>
        <v>15.168472000000001</v>
      </c>
      <c r="H32" s="9">
        <v>6.2249999999999996</v>
      </c>
      <c r="I32" s="9">
        <v>0</v>
      </c>
      <c r="J32" s="9">
        <v>0.27200000000000002</v>
      </c>
      <c r="K32" s="9">
        <v>0</v>
      </c>
      <c r="L32" s="9">
        <v>0</v>
      </c>
      <c r="M32" s="9">
        <v>0</v>
      </c>
      <c r="N32" s="9">
        <v>2.6720000000000002</v>
      </c>
      <c r="O32" s="9">
        <v>0</v>
      </c>
      <c r="P32" s="9">
        <v>3.9359999999999999</v>
      </c>
      <c r="Q32" s="9">
        <v>10.182</v>
      </c>
      <c r="R32" s="9">
        <f>Q32-$Q$8</f>
        <v>8.9849999999999994</v>
      </c>
      <c r="S32" s="9">
        <v>73.02</v>
      </c>
      <c r="T32" s="9">
        <v>25.984999999999999</v>
      </c>
    </row>
    <row r="33" spans="1:20" x14ac:dyDescent="0.2">
      <c r="A33" s="14" t="s">
        <v>15</v>
      </c>
      <c r="B33" s="6" t="s">
        <v>13</v>
      </c>
      <c r="C33" s="10">
        <v>96</v>
      </c>
      <c r="D33" s="10" t="s">
        <v>9</v>
      </c>
      <c r="E33" s="10">
        <v>0.315</v>
      </c>
      <c r="F33" s="10">
        <v>2.3199999999999998</v>
      </c>
      <c r="G33" s="9">
        <f t="shared" si="0"/>
        <v>15.995843199999998</v>
      </c>
      <c r="H33" s="10">
        <v>5.556</v>
      </c>
      <c r="I33" s="10">
        <v>0</v>
      </c>
      <c r="J33" s="10">
        <v>0.157</v>
      </c>
      <c r="K33" s="10">
        <v>0</v>
      </c>
      <c r="L33" s="10">
        <v>0</v>
      </c>
      <c r="M33" s="10">
        <v>0</v>
      </c>
      <c r="N33" s="10">
        <v>2.593</v>
      </c>
      <c r="O33" s="10">
        <v>0</v>
      </c>
      <c r="P33" s="10">
        <v>3.91</v>
      </c>
      <c r="Q33" s="10">
        <v>10.811</v>
      </c>
      <c r="R33" s="9">
        <f>Q33-$Q$9</f>
        <v>8.8770000000000007</v>
      </c>
      <c r="S33" s="10">
        <v>72.576999999999998</v>
      </c>
      <c r="T33" s="10">
        <v>27.015999999999998</v>
      </c>
    </row>
    <row r="34" spans="1:20" x14ac:dyDescent="0.2">
      <c r="A34" s="14" t="s">
        <v>15</v>
      </c>
      <c r="B34" s="2" t="s">
        <v>14</v>
      </c>
      <c r="C34" s="9">
        <v>144</v>
      </c>
      <c r="D34" s="9" t="s">
        <v>6</v>
      </c>
      <c r="E34" s="9">
        <v>0.82399999999999995</v>
      </c>
      <c r="F34" s="9">
        <v>10.4</v>
      </c>
      <c r="G34" s="9">
        <f t="shared" si="0"/>
        <v>71.705504000000005</v>
      </c>
      <c r="H34" s="9">
        <v>19.262</v>
      </c>
      <c r="I34" s="9">
        <v>0</v>
      </c>
      <c r="J34" s="9">
        <v>3.1349999999999998</v>
      </c>
      <c r="K34" s="9">
        <v>0.157</v>
      </c>
      <c r="L34" s="9">
        <v>0</v>
      </c>
      <c r="M34" s="9">
        <v>0</v>
      </c>
      <c r="N34" s="9">
        <v>6.8319999999999999</v>
      </c>
      <c r="O34" s="9">
        <v>0</v>
      </c>
      <c r="P34" s="9">
        <v>10.045999999999999</v>
      </c>
      <c r="Q34" s="9">
        <v>11.852</v>
      </c>
      <c r="R34" s="9">
        <f>Q34-$Q$2</f>
        <v>10.798</v>
      </c>
      <c r="S34" s="9">
        <v>15.492000000000001</v>
      </c>
      <c r="T34" s="9">
        <v>83.341999999999999</v>
      </c>
    </row>
    <row r="35" spans="1:20" x14ac:dyDescent="0.2">
      <c r="A35" s="14" t="s">
        <v>15</v>
      </c>
      <c r="B35" s="2" t="s">
        <v>14</v>
      </c>
      <c r="C35" s="9">
        <v>144</v>
      </c>
      <c r="D35" s="9" t="s">
        <v>7</v>
      </c>
      <c r="E35" s="9">
        <v>0.80100000000000005</v>
      </c>
      <c r="F35" s="9">
        <v>10.28</v>
      </c>
      <c r="G35" s="9">
        <f t="shared" si="0"/>
        <v>70.878132799999989</v>
      </c>
      <c r="H35" s="9">
        <v>20.256</v>
      </c>
      <c r="I35" s="9">
        <v>0</v>
      </c>
      <c r="J35" s="9">
        <v>3.16</v>
      </c>
      <c r="K35" s="9">
        <v>0.20200000000000001</v>
      </c>
      <c r="L35" s="9">
        <v>0</v>
      </c>
      <c r="M35" s="9">
        <v>0</v>
      </c>
      <c r="N35" s="9">
        <v>6.923</v>
      </c>
      <c r="O35" s="9">
        <v>0</v>
      </c>
      <c r="P35" s="9">
        <v>10.130000000000001</v>
      </c>
      <c r="Q35" s="9">
        <v>14.917999999999999</v>
      </c>
      <c r="R35" s="9">
        <f>Q35-$Q$3</f>
        <v>13.763</v>
      </c>
      <c r="S35" s="9">
        <v>16.518999999999998</v>
      </c>
      <c r="T35" s="9">
        <v>81.731999999999999</v>
      </c>
    </row>
    <row r="36" spans="1:20" x14ac:dyDescent="0.2">
      <c r="A36" s="14" t="s">
        <v>15</v>
      </c>
      <c r="B36" s="2" t="s">
        <v>14</v>
      </c>
      <c r="C36" s="9">
        <v>144</v>
      </c>
      <c r="D36" s="9" t="s">
        <v>8</v>
      </c>
      <c r="E36" s="9">
        <v>0.81699999999999995</v>
      </c>
      <c r="F36" s="9">
        <v>10.48</v>
      </c>
      <c r="G36" s="9">
        <f t="shared" si="0"/>
        <v>72.257084800000001</v>
      </c>
      <c r="H36" s="9">
        <v>19.335000000000001</v>
      </c>
      <c r="I36" s="9">
        <v>0</v>
      </c>
      <c r="J36" s="9">
        <v>3.2050000000000001</v>
      </c>
      <c r="K36" s="9">
        <v>0.22800000000000001</v>
      </c>
      <c r="L36" s="9">
        <v>0</v>
      </c>
      <c r="M36" s="9">
        <v>0</v>
      </c>
      <c r="N36" s="9">
        <v>7.2460000000000004</v>
      </c>
      <c r="O36" s="9">
        <v>0</v>
      </c>
      <c r="P36" s="9">
        <v>10.039999999999999</v>
      </c>
      <c r="Q36" s="9">
        <v>15.082000000000001</v>
      </c>
      <c r="R36" s="9">
        <f>Q36-$Q$4</f>
        <v>13.834000000000001</v>
      </c>
      <c r="S36" s="9">
        <v>16.914000000000001</v>
      </c>
      <c r="T36" s="9">
        <v>81.784999999999997</v>
      </c>
    </row>
    <row r="37" spans="1:20" x14ac:dyDescent="0.2">
      <c r="A37" s="14" t="s">
        <v>15</v>
      </c>
      <c r="B37" s="2" t="s">
        <v>14</v>
      </c>
      <c r="C37" s="9">
        <v>144</v>
      </c>
      <c r="D37" s="9" t="s">
        <v>9</v>
      </c>
      <c r="E37" s="9">
        <v>0.83</v>
      </c>
      <c r="F37" s="9">
        <v>10.32</v>
      </c>
      <c r="G37" s="9">
        <f t="shared" si="0"/>
        <v>71.153923199999994</v>
      </c>
      <c r="H37" s="9">
        <v>20.274999999999999</v>
      </c>
      <c r="I37" s="9">
        <v>0</v>
      </c>
      <c r="J37" s="9">
        <v>3.419</v>
      </c>
      <c r="K37" s="9">
        <v>0.224</v>
      </c>
      <c r="L37" s="9">
        <v>0</v>
      </c>
      <c r="M37" s="9">
        <v>0</v>
      </c>
      <c r="N37" s="9">
        <v>7.2859999999999996</v>
      </c>
      <c r="O37" s="9">
        <v>0</v>
      </c>
      <c r="P37" s="9">
        <v>10.237</v>
      </c>
      <c r="Q37" s="9">
        <v>15.103999999999999</v>
      </c>
      <c r="R37" s="9">
        <f>Q37-$Q$5</f>
        <v>13.898</v>
      </c>
      <c r="S37" s="9">
        <v>16.782</v>
      </c>
      <c r="T37" s="9">
        <v>84.031000000000006</v>
      </c>
    </row>
    <row r="38" spans="1:20" x14ac:dyDescent="0.2">
      <c r="A38" s="14" t="s">
        <v>15</v>
      </c>
      <c r="B38" s="2" t="s">
        <v>13</v>
      </c>
      <c r="C38" s="9">
        <v>144</v>
      </c>
      <c r="D38" s="9" t="s">
        <v>6</v>
      </c>
      <c r="E38" s="9">
        <v>0.246</v>
      </c>
      <c r="F38" s="9">
        <v>2.2400000000000002</v>
      </c>
      <c r="G38" s="9">
        <f t="shared" si="0"/>
        <v>15.444262400000001</v>
      </c>
      <c r="H38" s="9">
        <v>5.5780000000000003</v>
      </c>
      <c r="I38" s="9">
        <v>0</v>
      </c>
      <c r="J38" s="9">
        <v>0.36899999999999999</v>
      </c>
      <c r="K38" s="9">
        <v>0</v>
      </c>
      <c r="L38" s="9">
        <v>0</v>
      </c>
      <c r="M38" s="9">
        <v>0</v>
      </c>
      <c r="N38" s="9">
        <v>2.577</v>
      </c>
      <c r="O38" s="9">
        <v>0</v>
      </c>
      <c r="P38" s="9">
        <v>4.8869999999999996</v>
      </c>
      <c r="Q38" s="9">
        <v>11.451000000000001</v>
      </c>
      <c r="R38" s="9">
        <f>Q38-$Q$6</f>
        <v>10.247</v>
      </c>
      <c r="S38" s="9">
        <v>59.401000000000003</v>
      </c>
      <c r="T38" s="9">
        <v>39.005000000000003</v>
      </c>
    </row>
    <row r="39" spans="1:20" x14ac:dyDescent="0.2">
      <c r="A39" s="14" t="s">
        <v>15</v>
      </c>
      <c r="B39" s="2" t="s">
        <v>13</v>
      </c>
      <c r="C39" s="9">
        <v>144</v>
      </c>
      <c r="D39" s="9" t="s">
        <v>7</v>
      </c>
      <c r="E39" s="9">
        <v>0.246</v>
      </c>
      <c r="F39" s="9">
        <v>2.52</v>
      </c>
      <c r="G39" s="9">
        <f t="shared" si="0"/>
        <v>17.374795200000001</v>
      </c>
      <c r="H39" s="9">
        <v>5.0529999999999999</v>
      </c>
      <c r="I39" s="9">
        <v>0</v>
      </c>
      <c r="J39" s="9">
        <v>0.31</v>
      </c>
      <c r="K39" s="9">
        <v>0</v>
      </c>
      <c r="L39" s="9">
        <v>0</v>
      </c>
      <c r="M39" s="9">
        <v>0</v>
      </c>
      <c r="N39" s="9">
        <v>2.544</v>
      </c>
      <c r="O39" s="9">
        <v>0</v>
      </c>
      <c r="P39" s="9">
        <v>4.6900000000000004</v>
      </c>
      <c r="Q39" s="9">
        <v>11.273</v>
      </c>
      <c r="R39" s="9">
        <f>Q39-$Q$7</f>
        <v>10.000999999999999</v>
      </c>
      <c r="S39" s="9">
        <v>59.631999999999998</v>
      </c>
      <c r="T39" s="9">
        <v>39.463999999999999</v>
      </c>
    </row>
    <row r="40" spans="1:20" x14ac:dyDescent="0.2">
      <c r="A40" s="14" t="s">
        <v>15</v>
      </c>
      <c r="B40" s="2" t="s">
        <v>13</v>
      </c>
      <c r="C40" s="9">
        <v>144</v>
      </c>
      <c r="D40" s="9" t="s">
        <v>8</v>
      </c>
      <c r="E40" s="9">
        <v>0.26900000000000002</v>
      </c>
      <c r="F40" s="9">
        <v>2.58</v>
      </c>
      <c r="G40" s="9">
        <f t="shared" si="0"/>
        <v>17.788480799999999</v>
      </c>
      <c r="H40" s="9">
        <v>6.0430000000000001</v>
      </c>
      <c r="I40" s="9">
        <v>0</v>
      </c>
      <c r="J40" s="9">
        <v>0.32200000000000001</v>
      </c>
      <c r="K40" s="9">
        <v>0</v>
      </c>
      <c r="L40" s="9">
        <v>0</v>
      </c>
      <c r="M40" s="9">
        <v>0</v>
      </c>
      <c r="N40" s="9">
        <v>2.7530000000000001</v>
      </c>
      <c r="O40" s="9">
        <v>0</v>
      </c>
      <c r="P40" s="9">
        <v>5.0750000000000002</v>
      </c>
      <c r="Q40" s="9">
        <v>11.757999999999999</v>
      </c>
      <c r="R40" s="9">
        <f>Q40-$Q$8</f>
        <v>10.561</v>
      </c>
      <c r="S40" s="9">
        <v>58.183999999999997</v>
      </c>
      <c r="T40" s="9">
        <v>40.820999999999998</v>
      </c>
    </row>
    <row r="41" spans="1:20" x14ac:dyDescent="0.2">
      <c r="A41" s="14" t="s">
        <v>15</v>
      </c>
      <c r="B41" s="6" t="s">
        <v>13</v>
      </c>
      <c r="C41" s="10">
        <v>144</v>
      </c>
      <c r="D41" s="10" t="s">
        <v>9</v>
      </c>
      <c r="E41" s="10">
        <v>0.27900000000000003</v>
      </c>
      <c r="F41" s="10">
        <v>2.7</v>
      </c>
      <c r="G41" s="9">
        <f t="shared" si="0"/>
        <v>18.615852</v>
      </c>
      <c r="H41" s="10">
        <v>5.8920000000000003</v>
      </c>
      <c r="I41" s="10">
        <v>0</v>
      </c>
      <c r="J41" s="10">
        <v>0.39800000000000002</v>
      </c>
      <c r="K41" s="10">
        <v>0</v>
      </c>
      <c r="L41" s="10">
        <v>0</v>
      </c>
      <c r="M41" s="10">
        <v>0</v>
      </c>
      <c r="N41" s="10">
        <v>2.8460000000000001</v>
      </c>
      <c r="O41" s="10">
        <v>0</v>
      </c>
      <c r="P41" s="10">
        <v>5.3319999999999999</v>
      </c>
      <c r="Q41" s="10">
        <v>7.819</v>
      </c>
      <c r="R41" s="9">
        <f>Q41-$Q$9</f>
        <v>5.8849999999999998</v>
      </c>
      <c r="S41" s="15"/>
      <c r="T41" s="15"/>
    </row>
    <row r="42" spans="1:20" x14ac:dyDescent="0.2">
      <c r="A42" s="14" t="s">
        <v>15</v>
      </c>
      <c r="B42" s="2" t="s">
        <v>14</v>
      </c>
      <c r="C42" s="9">
        <v>168</v>
      </c>
      <c r="D42" s="9" t="s">
        <v>6</v>
      </c>
      <c r="E42" s="9">
        <v>0.79600000000000004</v>
      </c>
      <c r="F42" s="9">
        <v>10.5</v>
      </c>
      <c r="G42" s="9">
        <f t="shared" si="0"/>
        <v>72.394980000000004</v>
      </c>
      <c r="H42" s="9">
        <v>19.698</v>
      </c>
      <c r="I42" s="9">
        <v>0</v>
      </c>
      <c r="J42" s="9">
        <v>3.1560000000000001</v>
      </c>
      <c r="K42" s="9">
        <v>0.23899999999999999</v>
      </c>
      <c r="L42" s="9">
        <v>0</v>
      </c>
      <c r="M42" s="9">
        <v>0</v>
      </c>
      <c r="N42" s="9">
        <v>7.2110000000000003</v>
      </c>
      <c r="O42" s="9">
        <v>0</v>
      </c>
      <c r="P42" s="9">
        <v>9.8179999999999996</v>
      </c>
      <c r="Q42" s="9">
        <v>14.464</v>
      </c>
      <c r="R42" s="9">
        <f>Q42-$Q$2</f>
        <v>13.41</v>
      </c>
      <c r="S42" s="9">
        <v>17.405999999999999</v>
      </c>
      <c r="T42" s="9">
        <v>81.427999999999997</v>
      </c>
    </row>
    <row r="43" spans="1:20" x14ac:dyDescent="0.2">
      <c r="A43" s="14" t="s">
        <v>15</v>
      </c>
      <c r="B43" s="2" t="s">
        <v>14</v>
      </c>
      <c r="C43" s="9">
        <v>168</v>
      </c>
      <c r="D43" s="9" t="s">
        <v>7</v>
      </c>
      <c r="E43" s="9">
        <v>0.73799999999999999</v>
      </c>
      <c r="F43" s="9">
        <v>10.32</v>
      </c>
      <c r="G43" s="9">
        <f t="shared" si="0"/>
        <v>71.153923199999994</v>
      </c>
      <c r="H43" s="9">
        <v>17.931999999999999</v>
      </c>
      <c r="I43" s="9">
        <v>0</v>
      </c>
      <c r="J43" s="9">
        <v>2.8559999999999999</v>
      </c>
      <c r="K43" s="9">
        <v>0.16700000000000001</v>
      </c>
      <c r="L43" s="9">
        <v>0</v>
      </c>
      <c r="M43" s="9">
        <v>0</v>
      </c>
      <c r="N43" s="9">
        <v>6.524</v>
      </c>
      <c r="O43" s="9">
        <v>0</v>
      </c>
      <c r="P43" s="9">
        <v>8.93</v>
      </c>
      <c r="Q43" s="9">
        <v>12.500999999999999</v>
      </c>
      <c r="R43" s="9">
        <f>Q43-$Q$3</f>
        <v>11.346</v>
      </c>
      <c r="S43" s="9">
        <v>17.082999999999998</v>
      </c>
      <c r="T43" s="9">
        <v>81.168000000000006</v>
      </c>
    </row>
    <row r="44" spans="1:20" x14ac:dyDescent="0.2">
      <c r="A44" s="14" t="s">
        <v>15</v>
      </c>
      <c r="B44" s="2" t="s">
        <v>14</v>
      </c>
      <c r="C44" s="9">
        <v>168</v>
      </c>
      <c r="D44" s="9" t="s">
        <v>8</v>
      </c>
      <c r="E44" s="9">
        <v>0.755</v>
      </c>
      <c r="F44" s="9">
        <v>10.54</v>
      </c>
      <c r="G44" s="9">
        <f t="shared" si="0"/>
        <v>72.670770399999995</v>
      </c>
      <c r="H44" s="9">
        <v>20.608000000000001</v>
      </c>
      <c r="I44" s="9">
        <v>0</v>
      </c>
      <c r="J44" s="9">
        <v>3.2919999999999998</v>
      </c>
      <c r="K44" s="9">
        <v>0.23200000000000001</v>
      </c>
      <c r="L44" s="9">
        <v>0</v>
      </c>
      <c r="M44" s="9">
        <v>0</v>
      </c>
      <c r="N44" s="9">
        <v>7.0720000000000001</v>
      </c>
      <c r="O44" s="9">
        <v>0</v>
      </c>
      <c r="P44" s="9">
        <v>9.8510000000000009</v>
      </c>
      <c r="Q44" s="9">
        <v>15.271000000000001</v>
      </c>
      <c r="R44" s="9">
        <f>Q44-$Q$4</f>
        <v>14.023000000000001</v>
      </c>
      <c r="S44" s="9">
        <v>16.78</v>
      </c>
      <c r="T44" s="9">
        <v>81.918999999999997</v>
      </c>
    </row>
    <row r="45" spans="1:20" x14ac:dyDescent="0.2">
      <c r="A45" s="14" t="s">
        <v>15</v>
      </c>
      <c r="B45" s="2" t="s">
        <v>14</v>
      </c>
      <c r="C45" s="9">
        <v>168</v>
      </c>
      <c r="D45" s="9" t="s">
        <v>9</v>
      </c>
      <c r="E45" s="9">
        <v>0.75800000000000001</v>
      </c>
      <c r="F45" s="9">
        <v>10.36</v>
      </c>
      <c r="G45" s="9">
        <f t="shared" si="0"/>
        <v>71.429713599999999</v>
      </c>
      <c r="H45" s="9">
        <v>18.082999999999998</v>
      </c>
      <c r="I45" s="9">
        <v>0</v>
      </c>
      <c r="J45" s="9">
        <v>3.1509999999999998</v>
      </c>
      <c r="K45" s="9">
        <v>0.23100000000000001</v>
      </c>
      <c r="L45" s="9">
        <v>0</v>
      </c>
      <c r="M45" s="9">
        <v>0</v>
      </c>
      <c r="N45" s="9">
        <v>6.8230000000000004</v>
      </c>
      <c r="O45" s="9">
        <v>0</v>
      </c>
      <c r="P45" s="9">
        <v>9.4320000000000004</v>
      </c>
      <c r="Q45" s="9">
        <v>15.122999999999999</v>
      </c>
      <c r="R45" s="9">
        <f>Q45-$Q$5</f>
        <v>13.917</v>
      </c>
      <c r="S45" s="9">
        <v>16.678000000000001</v>
      </c>
      <c r="T45" s="9">
        <v>84.135000000000005</v>
      </c>
    </row>
    <row r="46" spans="1:20" x14ac:dyDescent="0.2">
      <c r="A46" s="14" t="s">
        <v>15</v>
      </c>
      <c r="B46" s="2" t="s">
        <v>13</v>
      </c>
      <c r="C46" s="9">
        <v>168</v>
      </c>
      <c r="D46" s="9" t="s">
        <v>6</v>
      </c>
      <c r="E46" s="9">
        <v>0.223</v>
      </c>
      <c r="F46" s="9">
        <v>2.1</v>
      </c>
      <c r="G46" s="9">
        <f t="shared" si="0"/>
        <v>14.478996</v>
      </c>
      <c r="H46" s="9">
        <v>5.5810000000000004</v>
      </c>
      <c r="I46" s="9">
        <v>0</v>
      </c>
      <c r="J46" s="9">
        <v>0.35299999999999998</v>
      </c>
      <c r="K46" s="9">
        <v>0</v>
      </c>
      <c r="L46" s="9">
        <v>0</v>
      </c>
      <c r="M46" s="9">
        <v>0</v>
      </c>
      <c r="N46" s="9">
        <v>2.7959999999999998</v>
      </c>
      <c r="O46" s="9">
        <v>0</v>
      </c>
      <c r="P46" s="9">
        <v>5.335</v>
      </c>
      <c r="Q46" s="9">
        <v>12.227</v>
      </c>
      <c r="R46" s="9">
        <f>Q46-$Q$6</f>
        <v>11.023</v>
      </c>
      <c r="S46" s="9">
        <v>57.997</v>
      </c>
      <c r="T46" s="9">
        <v>40.408999999999999</v>
      </c>
    </row>
    <row r="47" spans="1:20" x14ac:dyDescent="0.2">
      <c r="A47" s="14" t="s">
        <v>15</v>
      </c>
      <c r="B47" s="2" t="s">
        <v>13</v>
      </c>
      <c r="C47" s="9">
        <v>168</v>
      </c>
      <c r="D47" s="9" t="s">
        <v>7</v>
      </c>
      <c r="E47" s="9">
        <v>0.224</v>
      </c>
      <c r="F47" s="9">
        <v>2.56</v>
      </c>
      <c r="G47" s="9">
        <f t="shared" si="0"/>
        <v>17.650585599999999</v>
      </c>
      <c r="H47" s="9">
        <v>2.2789999999999999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1.7010000000000001</v>
      </c>
      <c r="O47" s="9">
        <v>0</v>
      </c>
      <c r="P47" s="9">
        <v>4.0709999999999997</v>
      </c>
      <c r="Q47" s="9">
        <v>9.3420000000000005</v>
      </c>
      <c r="R47" s="9">
        <f>Q47-$Q$7</f>
        <v>8.07</v>
      </c>
      <c r="S47" s="9">
        <v>57.863</v>
      </c>
      <c r="T47" s="9">
        <v>41.232999999999997</v>
      </c>
    </row>
    <row r="48" spans="1:20" x14ac:dyDescent="0.2">
      <c r="A48" s="14" t="s">
        <v>15</v>
      </c>
      <c r="B48" s="2" t="s">
        <v>13</v>
      </c>
      <c r="C48" s="9">
        <v>168</v>
      </c>
      <c r="D48" s="9" t="s">
        <v>8</v>
      </c>
      <c r="E48" s="9">
        <v>0.253</v>
      </c>
      <c r="F48" s="9">
        <v>2.64</v>
      </c>
      <c r="G48" s="9">
        <f t="shared" si="0"/>
        <v>18.202166399999999</v>
      </c>
      <c r="H48" s="9">
        <v>6.3490000000000002</v>
      </c>
      <c r="I48" s="9">
        <v>0</v>
      </c>
      <c r="J48" s="9">
        <v>0.35299999999999998</v>
      </c>
      <c r="K48" s="9">
        <v>0</v>
      </c>
      <c r="L48" s="9">
        <v>0</v>
      </c>
      <c r="M48" s="9">
        <v>0</v>
      </c>
      <c r="N48" s="9">
        <v>2.5659999999999998</v>
      </c>
      <c r="O48" s="9">
        <v>0</v>
      </c>
      <c r="P48" s="9">
        <v>5.6280000000000001</v>
      </c>
      <c r="Q48" s="9">
        <v>12.337999999999999</v>
      </c>
      <c r="R48" s="9">
        <f>Q48-$Q$8</f>
        <v>11.140999999999998</v>
      </c>
      <c r="S48" s="9">
        <v>56.701999999999998</v>
      </c>
      <c r="T48" s="9">
        <v>42.302999999999997</v>
      </c>
    </row>
    <row r="49" spans="1:20" x14ac:dyDescent="0.2">
      <c r="A49" s="14" t="s">
        <v>15</v>
      </c>
      <c r="B49" s="6" t="s">
        <v>13</v>
      </c>
      <c r="C49" s="10">
        <v>168</v>
      </c>
      <c r="D49" s="10" t="s">
        <v>9</v>
      </c>
      <c r="E49" s="10">
        <v>0.246</v>
      </c>
      <c r="F49" s="10">
        <v>2.7</v>
      </c>
      <c r="G49" s="9">
        <f t="shared" si="0"/>
        <v>18.615852</v>
      </c>
      <c r="H49" s="10">
        <v>6.1829999999999998</v>
      </c>
      <c r="I49" s="10">
        <v>0</v>
      </c>
      <c r="J49" s="10">
        <v>0.35499999999999998</v>
      </c>
      <c r="K49" s="10">
        <v>0</v>
      </c>
      <c r="L49" s="10">
        <v>0</v>
      </c>
      <c r="M49" s="10">
        <v>0</v>
      </c>
      <c r="N49" s="10">
        <v>2.8450000000000002</v>
      </c>
      <c r="O49" s="10">
        <v>0</v>
      </c>
      <c r="P49" s="10">
        <v>5.6479999999999997</v>
      </c>
      <c r="Q49" s="10">
        <v>12.125999999999999</v>
      </c>
      <c r="R49" s="9">
        <f>Q49-$Q$9</f>
        <v>10.192</v>
      </c>
      <c r="S49" s="10">
        <v>57.313000000000002</v>
      </c>
      <c r="T49" s="10">
        <v>42.28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719E-8490-4D46-8F87-8B67C729203B}">
  <dimension ref="A1:U59"/>
  <sheetViews>
    <sheetView topLeftCell="C35" workbookViewId="0">
      <selection activeCell="G51" sqref="G51"/>
    </sheetView>
  </sheetViews>
  <sheetFormatPr baseColWidth="10" defaultRowHeight="15" x14ac:dyDescent="0.2"/>
  <sheetData>
    <row r="1" spans="1:21" x14ac:dyDescent="0.2">
      <c r="A1" s="5" t="s">
        <v>2</v>
      </c>
      <c r="B1" s="6" t="s">
        <v>3</v>
      </c>
      <c r="C1" s="7" t="s">
        <v>16</v>
      </c>
      <c r="D1" s="7" t="s">
        <v>4</v>
      </c>
      <c r="E1" s="7" t="s">
        <v>0</v>
      </c>
      <c r="F1" s="7" t="s">
        <v>5</v>
      </c>
      <c r="G1" s="7" t="s">
        <v>17</v>
      </c>
      <c r="H1" s="7" t="s">
        <v>11</v>
      </c>
      <c r="I1" s="7" t="s">
        <v>12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18</v>
      </c>
      <c r="S1" s="7" t="s">
        <v>46</v>
      </c>
      <c r="T1" s="7" t="s">
        <v>45</v>
      </c>
      <c r="U1" s="7" t="s">
        <v>44</v>
      </c>
    </row>
    <row r="2" spans="1:21" x14ac:dyDescent="0.2">
      <c r="A2" s="3" t="s">
        <v>43</v>
      </c>
      <c r="B2" s="2" t="s">
        <v>14</v>
      </c>
      <c r="C2" s="1">
        <v>0</v>
      </c>
      <c r="D2" s="1" t="s">
        <v>6</v>
      </c>
      <c r="E2" s="1">
        <v>8.0000000000000002E-3</v>
      </c>
      <c r="F2" s="1">
        <v>0</v>
      </c>
      <c r="G2" s="1">
        <f t="shared" ref="G2:G13" si="0">F2*6.89476</f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4">
        <v>1.8758586249999998</v>
      </c>
      <c r="S2" s="4">
        <f>R2-R$2</f>
        <v>0</v>
      </c>
      <c r="T2" s="1">
        <v>99.43</v>
      </c>
      <c r="U2" s="1">
        <v>0</v>
      </c>
    </row>
    <row r="3" spans="1:21" x14ac:dyDescent="0.2">
      <c r="A3" s="3" t="s">
        <v>43</v>
      </c>
      <c r="B3" s="2" t="s">
        <v>14</v>
      </c>
      <c r="C3" s="1">
        <v>0</v>
      </c>
      <c r="D3" s="1" t="s">
        <v>7</v>
      </c>
      <c r="E3" s="1">
        <v>2E-3</v>
      </c>
      <c r="F3" s="1">
        <v>0</v>
      </c>
      <c r="G3" s="1">
        <f t="shared" si="0"/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4">
        <v>2.0589197162000006</v>
      </c>
      <c r="S3" s="4">
        <f t="shared" ref="S3:S53" si="1">R3-R$2</f>
        <v>0.1830610912000008</v>
      </c>
      <c r="T3" s="1">
        <v>102.876</v>
      </c>
      <c r="U3" s="1">
        <v>0</v>
      </c>
    </row>
    <row r="4" spans="1:21" x14ac:dyDescent="0.2">
      <c r="A4" s="3" t="s">
        <v>43</v>
      </c>
      <c r="B4" s="2" t="s">
        <v>14</v>
      </c>
      <c r="C4" s="1">
        <v>0</v>
      </c>
      <c r="D4" s="1" t="s">
        <v>8</v>
      </c>
      <c r="E4" s="1">
        <v>2E-3</v>
      </c>
      <c r="F4" s="1">
        <v>0</v>
      </c>
      <c r="G4" s="1">
        <f t="shared" si="0"/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4">
        <v>2.7651146777999998</v>
      </c>
      <c r="S4" s="4">
        <f t="shared" si="1"/>
        <v>0.88925605279999997</v>
      </c>
      <c r="T4" s="1">
        <v>104.974</v>
      </c>
      <c r="U4" s="1">
        <v>0</v>
      </c>
    </row>
    <row r="5" spans="1:21" x14ac:dyDescent="0.2">
      <c r="A5" s="3" t="s">
        <v>43</v>
      </c>
      <c r="B5" s="2" t="s">
        <v>14</v>
      </c>
      <c r="C5" s="1">
        <v>0</v>
      </c>
      <c r="D5" s="1" t="s">
        <v>9</v>
      </c>
      <c r="E5" s="1">
        <v>3.0000000000000001E-3</v>
      </c>
      <c r="F5" s="1">
        <v>0</v>
      </c>
      <c r="G5" s="1">
        <f t="shared" si="0"/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4">
        <v>2.0201443817999998</v>
      </c>
      <c r="S5" s="4">
        <f t="shared" si="1"/>
        <v>0.1442857568</v>
      </c>
      <c r="T5" s="1">
        <v>104.94</v>
      </c>
      <c r="U5" s="1">
        <v>0</v>
      </c>
    </row>
    <row r="6" spans="1:21" x14ac:dyDescent="0.2">
      <c r="A6" s="3" t="s">
        <v>43</v>
      </c>
      <c r="B6" s="2" t="s">
        <v>13</v>
      </c>
      <c r="C6" s="1">
        <v>0</v>
      </c>
      <c r="D6" s="1" t="s">
        <v>6</v>
      </c>
      <c r="E6" s="1">
        <v>1E-3</v>
      </c>
      <c r="F6" s="1">
        <v>0</v>
      </c>
      <c r="G6" s="1">
        <f t="shared" si="0"/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4">
        <v>1.9937223048000001</v>
      </c>
      <c r="S6" s="4">
        <f t="shared" si="1"/>
        <v>0.11786367980000034</v>
      </c>
      <c r="T6" s="1">
        <v>104.901</v>
      </c>
      <c r="U6" s="1">
        <v>0</v>
      </c>
    </row>
    <row r="7" spans="1:21" x14ac:dyDescent="0.2">
      <c r="A7" s="3" t="s">
        <v>43</v>
      </c>
      <c r="B7" s="2" t="s">
        <v>13</v>
      </c>
      <c r="C7" s="1">
        <v>0</v>
      </c>
      <c r="D7" s="1" t="s">
        <v>7</v>
      </c>
      <c r="E7" s="1">
        <v>2E-3</v>
      </c>
      <c r="F7" s="1">
        <v>0</v>
      </c>
      <c r="G7" s="1">
        <f t="shared" si="0"/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4">
        <v>5.5275143007999992</v>
      </c>
      <c r="S7" s="4">
        <f t="shared" si="1"/>
        <v>3.6516556757999994</v>
      </c>
      <c r="T7" s="1">
        <v>105.60899999999999</v>
      </c>
      <c r="U7" s="1">
        <v>0</v>
      </c>
    </row>
    <row r="8" spans="1:21" x14ac:dyDescent="0.2">
      <c r="A8" s="3" t="s">
        <v>43</v>
      </c>
      <c r="B8" s="2" t="s">
        <v>13</v>
      </c>
      <c r="C8" s="1">
        <v>0</v>
      </c>
      <c r="D8" s="1" t="s">
        <v>8</v>
      </c>
      <c r="E8" s="1">
        <v>4.0000000000000001E-3</v>
      </c>
      <c r="F8" s="1">
        <v>0</v>
      </c>
      <c r="G8" s="1">
        <f t="shared" si="0"/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4">
        <v>2.6723406249999999</v>
      </c>
      <c r="S8" s="4">
        <f t="shared" si="1"/>
        <v>0.79648200000000013</v>
      </c>
      <c r="T8" s="1">
        <v>106.301</v>
      </c>
      <c r="U8" s="1">
        <v>0</v>
      </c>
    </row>
    <row r="9" spans="1:21" x14ac:dyDescent="0.2">
      <c r="A9" s="3" t="s">
        <v>43</v>
      </c>
      <c r="B9" s="6" t="s">
        <v>13</v>
      </c>
      <c r="C9" s="7">
        <v>0</v>
      </c>
      <c r="D9" s="7" t="s">
        <v>9</v>
      </c>
      <c r="E9" s="7">
        <v>8.9999999999999993E-3</v>
      </c>
      <c r="F9" s="7">
        <v>0</v>
      </c>
      <c r="G9" s="1">
        <f t="shared" si="0"/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8">
        <v>2.7454766791999998</v>
      </c>
      <c r="S9" s="4">
        <f t="shared" si="1"/>
        <v>0.86961805420000005</v>
      </c>
      <c r="T9" s="7">
        <v>107.035</v>
      </c>
      <c r="U9" s="7">
        <v>0</v>
      </c>
    </row>
    <row r="10" spans="1:21" x14ac:dyDescent="0.2">
      <c r="A10" s="3" t="s">
        <v>43</v>
      </c>
      <c r="B10" s="2" t="s">
        <v>14</v>
      </c>
      <c r="C10" s="1">
        <v>48</v>
      </c>
      <c r="D10" s="1" t="s">
        <v>6</v>
      </c>
      <c r="E10" s="1">
        <v>0.111</v>
      </c>
      <c r="F10" s="1">
        <v>1.2000000000000002</v>
      </c>
      <c r="G10" s="1">
        <f t="shared" si="0"/>
        <v>8.2737120000000015</v>
      </c>
      <c r="H10" s="4">
        <v>2.3396887966726099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4">
        <v>0.58194518397414807</v>
      </c>
      <c r="P10" s="1">
        <v>0</v>
      </c>
      <c r="Q10" s="1">
        <v>0</v>
      </c>
      <c r="R10" s="4">
        <v>4.7268999999999997</v>
      </c>
      <c r="S10" s="4">
        <f t="shared" si="1"/>
        <v>2.8510413749999999</v>
      </c>
      <c r="T10" s="1">
        <v>100.45099999999999</v>
      </c>
      <c r="U10" s="1">
        <v>0</v>
      </c>
    </row>
    <row r="11" spans="1:21" x14ac:dyDescent="0.2">
      <c r="A11" s="3" t="s">
        <v>43</v>
      </c>
      <c r="B11" s="2" t="s">
        <v>14</v>
      </c>
      <c r="C11" s="1">
        <v>48</v>
      </c>
      <c r="D11" s="1" t="s">
        <v>7</v>
      </c>
      <c r="E11" s="1">
        <v>0.17199999999999999</v>
      </c>
      <c r="F11" s="1">
        <v>1.46</v>
      </c>
      <c r="G11" s="1">
        <f t="shared" si="0"/>
        <v>10.066349599999999</v>
      </c>
      <c r="H11" s="4">
        <v>3.5222152220666603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4">
        <v>1.24663909702088</v>
      </c>
      <c r="P11" s="1">
        <v>0</v>
      </c>
      <c r="Q11" s="1">
        <v>0</v>
      </c>
      <c r="R11" s="4">
        <v>5.0059002848</v>
      </c>
      <c r="S11" s="4">
        <f t="shared" si="1"/>
        <v>3.1300416598000003</v>
      </c>
      <c r="T11" s="1">
        <v>98.221000000000004</v>
      </c>
      <c r="U11" s="1">
        <v>4.6550000000000011</v>
      </c>
    </row>
    <row r="12" spans="1:21" x14ac:dyDescent="0.2">
      <c r="A12" s="3" t="s">
        <v>43</v>
      </c>
      <c r="B12" s="2" t="s">
        <v>14</v>
      </c>
      <c r="C12" s="1">
        <v>48</v>
      </c>
      <c r="D12" s="1" t="s">
        <v>8</v>
      </c>
      <c r="E12" s="1">
        <v>0.18</v>
      </c>
      <c r="F12" s="1">
        <v>1.48</v>
      </c>
      <c r="G12" s="1">
        <f t="shared" si="0"/>
        <v>10.2042448</v>
      </c>
      <c r="H12" s="4">
        <v>4.15406981250739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4">
        <v>1.20087700964618</v>
      </c>
      <c r="P12" s="1">
        <v>0</v>
      </c>
      <c r="Q12" s="1">
        <v>0</v>
      </c>
      <c r="R12" s="4">
        <v>4.7855532921999986</v>
      </c>
      <c r="S12" s="4">
        <f t="shared" si="1"/>
        <v>2.9096946671999988</v>
      </c>
      <c r="T12" s="1">
        <v>98.188999999999993</v>
      </c>
      <c r="U12" s="1">
        <v>6.7850000000000108</v>
      </c>
    </row>
    <row r="13" spans="1:21" x14ac:dyDescent="0.2">
      <c r="A13" s="3" t="s">
        <v>43</v>
      </c>
      <c r="B13" s="2" t="s">
        <v>14</v>
      </c>
      <c r="C13" s="1">
        <v>48</v>
      </c>
      <c r="D13" s="1" t="s">
        <v>9</v>
      </c>
      <c r="E13" s="1">
        <v>0.11700000000000001</v>
      </c>
      <c r="F13" s="1">
        <v>1.38</v>
      </c>
      <c r="G13" s="1">
        <f t="shared" si="0"/>
        <v>9.5147687999999988</v>
      </c>
      <c r="H13" s="4">
        <v>2.65421102761906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4">
        <v>0.79609510556264695</v>
      </c>
      <c r="P13" s="1">
        <v>0</v>
      </c>
      <c r="Q13" s="1">
        <v>0</v>
      </c>
      <c r="R13" s="4">
        <v>4.3894724232000009</v>
      </c>
      <c r="S13" s="4">
        <f t="shared" si="1"/>
        <v>2.5136137982000011</v>
      </c>
      <c r="T13" s="1">
        <v>94.462999999999994</v>
      </c>
      <c r="U13" s="1">
        <v>10.477000000000004</v>
      </c>
    </row>
    <row r="14" spans="1:21" x14ac:dyDescent="0.2">
      <c r="A14" s="3" t="s">
        <v>43</v>
      </c>
      <c r="B14" s="2" t="s">
        <v>13</v>
      </c>
      <c r="C14" s="1">
        <v>48</v>
      </c>
      <c r="D14" s="1" t="s">
        <v>6</v>
      </c>
      <c r="E14" s="1">
        <v>2E-3</v>
      </c>
      <c r="F14" s="1"/>
      <c r="G14" s="1"/>
      <c r="H14" s="4">
        <v>0.46596543219231296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4">
        <v>3.2811408766364798E-2</v>
      </c>
      <c r="P14" s="1">
        <v>0</v>
      </c>
      <c r="Q14" s="1">
        <v>0</v>
      </c>
      <c r="R14" s="1"/>
      <c r="S14" s="4"/>
      <c r="T14" s="1"/>
      <c r="U14" s="1"/>
    </row>
    <row r="15" spans="1:21" x14ac:dyDescent="0.2">
      <c r="A15" s="3" t="s">
        <v>43</v>
      </c>
      <c r="B15" s="2" t="s">
        <v>13</v>
      </c>
      <c r="C15" s="1">
        <v>48</v>
      </c>
      <c r="D15" s="1" t="s">
        <v>7</v>
      </c>
      <c r="E15" s="1">
        <v>4.0000000000000001E-3</v>
      </c>
      <c r="F15" s="1"/>
      <c r="G15" s="1"/>
      <c r="H15" s="4">
        <v>0.32330534439654202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4">
        <v>4.4642812916105903E-2</v>
      </c>
      <c r="P15" s="1">
        <v>0</v>
      </c>
      <c r="Q15" s="1">
        <v>0</v>
      </c>
      <c r="R15" s="1"/>
      <c r="S15" s="4"/>
      <c r="T15" s="1"/>
      <c r="U15" s="1"/>
    </row>
    <row r="16" spans="1:21" x14ac:dyDescent="0.2">
      <c r="A16" s="3" t="s">
        <v>43</v>
      </c>
      <c r="B16" s="2" t="s">
        <v>13</v>
      </c>
      <c r="C16" s="1">
        <v>48</v>
      </c>
      <c r="D16" s="1" t="s">
        <v>8</v>
      </c>
      <c r="E16" s="1">
        <v>4.0000000000000001E-3</v>
      </c>
      <c r="F16" s="1"/>
      <c r="G16" s="1"/>
      <c r="H16" s="4">
        <v>0.34844384307416598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4">
        <v>4.06570876203034E-2</v>
      </c>
      <c r="P16" s="1">
        <v>0</v>
      </c>
      <c r="Q16" s="1">
        <v>0</v>
      </c>
      <c r="R16" s="1"/>
      <c r="S16" s="4"/>
      <c r="T16" s="1"/>
      <c r="U16" s="1"/>
    </row>
    <row r="17" spans="1:21" x14ac:dyDescent="0.2">
      <c r="A17" s="3" t="s">
        <v>43</v>
      </c>
      <c r="B17" s="2" t="s">
        <v>13</v>
      </c>
      <c r="C17" s="7">
        <v>48</v>
      </c>
      <c r="D17" s="7" t="s">
        <v>9</v>
      </c>
      <c r="E17" s="7">
        <v>1.7999999999999999E-2</v>
      </c>
      <c r="F17" s="7"/>
      <c r="G17" s="1"/>
      <c r="H17" s="8">
        <v>0.55213990507975996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8">
        <v>4.3154839344596907E-2</v>
      </c>
      <c r="P17" s="7">
        <v>0</v>
      </c>
      <c r="Q17" s="7">
        <v>0</v>
      </c>
      <c r="R17" s="7"/>
      <c r="S17" s="4"/>
      <c r="T17" s="7"/>
      <c r="U17" s="7"/>
    </row>
    <row r="18" spans="1:21" x14ac:dyDescent="0.2">
      <c r="A18" s="3" t="s">
        <v>43</v>
      </c>
      <c r="B18" s="2" t="s">
        <v>14</v>
      </c>
      <c r="C18" s="1">
        <v>72</v>
      </c>
      <c r="D18" s="1" t="s">
        <v>6</v>
      </c>
      <c r="E18" s="1">
        <v>0.60399999999999998</v>
      </c>
      <c r="F18" s="1">
        <v>3.7800000000000002</v>
      </c>
      <c r="G18" s="1">
        <f>F18*6.89476</f>
        <v>26.062192800000002</v>
      </c>
      <c r="H18" s="4">
        <v>7.6001155624677299</v>
      </c>
      <c r="I18" s="1">
        <v>0</v>
      </c>
      <c r="J18" s="1">
        <v>0</v>
      </c>
      <c r="K18" s="4">
        <v>1.68444541959787</v>
      </c>
      <c r="L18" s="1">
        <v>0</v>
      </c>
      <c r="M18" s="1">
        <v>0</v>
      </c>
      <c r="N18" s="1">
        <v>0</v>
      </c>
      <c r="O18" s="4">
        <v>5.6289804858359203</v>
      </c>
      <c r="P18" s="1">
        <v>0</v>
      </c>
      <c r="Q18" s="1">
        <v>0</v>
      </c>
      <c r="R18" s="4">
        <v>10.136699999999999</v>
      </c>
      <c r="S18" s="4">
        <f>R18-R$2</f>
        <v>8.260841375</v>
      </c>
      <c r="T18" s="1">
        <v>68.06</v>
      </c>
      <c r="U18" s="1">
        <v>31.370000000000005</v>
      </c>
    </row>
    <row r="19" spans="1:21" x14ac:dyDescent="0.2">
      <c r="A19" s="3" t="s">
        <v>43</v>
      </c>
      <c r="B19" s="2" t="s">
        <v>14</v>
      </c>
      <c r="C19" s="1">
        <v>72</v>
      </c>
      <c r="D19" s="1" t="s">
        <v>7</v>
      </c>
      <c r="E19" s="1">
        <v>0.67900000000000005</v>
      </c>
      <c r="F19" s="1">
        <v>4.16</v>
      </c>
      <c r="G19" s="1">
        <f>F19*6.89476</f>
        <v>28.682201599999999</v>
      </c>
      <c r="H19" s="4">
        <v>6.9456108963257703</v>
      </c>
      <c r="I19" s="1">
        <v>0</v>
      </c>
      <c r="J19" s="1">
        <v>0</v>
      </c>
      <c r="K19" s="4">
        <v>2.2197548894338701</v>
      </c>
      <c r="L19" s="1">
        <v>0</v>
      </c>
      <c r="M19" s="1">
        <v>0</v>
      </c>
      <c r="N19" s="1">
        <v>0</v>
      </c>
      <c r="O19" s="4">
        <v>7.5802292961223605</v>
      </c>
      <c r="P19" s="1">
        <v>0</v>
      </c>
      <c r="Q19" s="1">
        <v>0</v>
      </c>
      <c r="R19" s="4">
        <v>11.299943424799999</v>
      </c>
      <c r="S19" s="4">
        <f t="shared" si="1"/>
        <v>9.4240847997999992</v>
      </c>
      <c r="T19" s="1">
        <v>71.674999999999997</v>
      </c>
      <c r="U19" s="1">
        <v>31.201000000000008</v>
      </c>
    </row>
    <row r="20" spans="1:21" x14ac:dyDescent="0.2">
      <c r="A20" s="3" t="s">
        <v>43</v>
      </c>
      <c r="B20" s="2" t="s">
        <v>14</v>
      </c>
      <c r="C20" s="1">
        <v>72</v>
      </c>
      <c r="D20" s="1" t="s">
        <v>8</v>
      </c>
      <c r="E20" s="1">
        <v>0.71699999999999997</v>
      </c>
      <c r="F20" s="1">
        <v>4.16</v>
      </c>
      <c r="G20" s="1">
        <f>F20*6.89476</f>
        <v>28.682201599999999</v>
      </c>
      <c r="H20" s="4">
        <v>7.8222938942503095</v>
      </c>
      <c r="I20" s="1">
        <v>0</v>
      </c>
      <c r="J20" s="1">
        <v>0</v>
      </c>
      <c r="K20" s="4">
        <v>2.2961191315601002</v>
      </c>
      <c r="L20" s="1">
        <v>0</v>
      </c>
      <c r="M20" s="1">
        <v>0</v>
      </c>
      <c r="N20" s="1">
        <v>0</v>
      </c>
      <c r="O20" s="4">
        <v>8.0857631903585396</v>
      </c>
      <c r="P20" s="1">
        <v>0</v>
      </c>
      <c r="Q20" s="1">
        <v>0</v>
      </c>
      <c r="R20" s="4">
        <v>10.972651580199999</v>
      </c>
      <c r="S20" s="4">
        <f t="shared" si="1"/>
        <v>9.0967929551999998</v>
      </c>
      <c r="T20" s="1">
        <v>68.406000000000006</v>
      </c>
      <c r="U20" s="1">
        <v>36.567999999999998</v>
      </c>
    </row>
    <row r="21" spans="1:21" x14ac:dyDescent="0.2">
      <c r="A21" s="3" t="s">
        <v>43</v>
      </c>
      <c r="B21" s="2" t="s">
        <v>14</v>
      </c>
      <c r="C21" s="1">
        <v>72</v>
      </c>
      <c r="D21" s="1" t="s">
        <v>9</v>
      </c>
      <c r="E21" s="1">
        <v>0.60499999999999998</v>
      </c>
      <c r="F21" s="1">
        <v>3.9</v>
      </c>
      <c r="G21" s="1">
        <f>F21*6.89476</f>
        <v>26.889564</v>
      </c>
      <c r="H21" s="4">
        <v>8.0823740790468097</v>
      </c>
      <c r="I21" s="1">
        <v>0</v>
      </c>
      <c r="J21" s="1">
        <v>0</v>
      </c>
      <c r="K21" s="4">
        <v>1.9242428852307201</v>
      </c>
      <c r="L21" s="1">
        <v>0</v>
      </c>
      <c r="M21" s="1">
        <v>0</v>
      </c>
      <c r="N21" s="1">
        <v>0</v>
      </c>
      <c r="O21" s="4">
        <v>6.2479145706017505</v>
      </c>
      <c r="P21" s="1">
        <v>0</v>
      </c>
      <c r="Q21" s="1">
        <v>0</v>
      </c>
      <c r="R21" s="4">
        <v>8.1375993050000002</v>
      </c>
      <c r="S21" s="4">
        <f t="shared" si="1"/>
        <v>6.2617406800000008</v>
      </c>
      <c r="T21" s="1">
        <v>79.188000000000002</v>
      </c>
      <c r="U21" s="1">
        <v>25.751999999999995</v>
      </c>
    </row>
    <row r="22" spans="1:21" x14ac:dyDescent="0.2">
      <c r="A22" s="3" t="s">
        <v>43</v>
      </c>
      <c r="B22" s="2" t="s">
        <v>13</v>
      </c>
      <c r="C22" s="1">
        <v>72</v>
      </c>
      <c r="D22" s="1" t="s">
        <v>6</v>
      </c>
      <c r="E22" s="1">
        <v>4.0000000000000001E-3</v>
      </c>
      <c r="F22" s="1"/>
      <c r="G22" s="1"/>
      <c r="H22" s="4">
        <v>0.49443604224883198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4">
        <v>8.4373843237555701E-2</v>
      </c>
      <c r="P22" s="1">
        <v>0</v>
      </c>
      <c r="Q22" s="1">
        <v>0</v>
      </c>
      <c r="R22" s="1"/>
      <c r="S22" s="4"/>
      <c r="T22" s="1"/>
      <c r="U22" s="1"/>
    </row>
    <row r="23" spans="1:21" x14ac:dyDescent="0.2">
      <c r="A23" s="3" t="s">
        <v>43</v>
      </c>
      <c r="B23" s="2" t="s">
        <v>13</v>
      </c>
      <c r="C23" s="1">
        <v>72</v>
      </c>
      <c r="D23" s="1" t="s">
        <v>7</v>
      </c>
      <c r="E23" s="1">
        <v>2.1999999999999999E-2</v>
      </c>
      <c r="F23" s="1"/>
      <c r="G23" s="1"/>
      <c r="H23" s="4">
        <v>0.47012993511637402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4">
        <v>7.6580442078482899E-2</v>
      </c>
      <c r="P23" s="1">
        <v>0</v>
      </c>
      <c r="Q23" s="1">
        <v>0</v>
      </c>
      <c r="R23" s="1"/>
      <c r="S23" s="4"/>
      <c r="T23" s="1"/>
      <c r="U23" s="1"/>
    </row>
    <row r="24" spans="1:21" x14ac:dyDescent="0.2">
      <c r="A24" s="3" t="s">
        <v>43</v>
      </c>
      <c r="B24" s="2" t="s">
        <v>13</v>
      </c>
      <c r="C24" s="1">
        <v>72</v>
      </c>
      <c r="D24" s="1" t="s">
        <v>8</v>
      </c>
      <c r="E24" s="1">
        <v>5.0000000000000001E-3</v>
      </c>
      <c r="F24" s="1"/>
      <c r="G24" s="1"/>
      <c r="H24" s="4">
        <v>0.347485854679909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4">
        <v>4.7959115265337998E-2</v>
      </c>
      <c r="P24" s="1">
        <v>0</v>
      </c>
      <c r="Q24" s="1">
        <v>0</v>
      </c>
      <c r="R24" s="1"/>
      <c r="S24" s="4"/>
      <c r="T24" s="1"/>
      <c r="U24" s="1"/>
    </row>
    <row r="25" spans="1:21" x14ac:dyDescent="0.2">
      <c r="A25" s="3" t="s">
        <v>43</v>
      </c>
      <c r="B25" s="2" t="s">
        <v>13</v>
      </c>
      <c r="C25" s="7">
        <v>72</v>
      </c>
      <c r="D25" s="7" t="s">
        <v>9</v>
      </c>
      <c r="E25" s="7">
        <v>1.7000000000000001E-2</v>
      </c>
      <c r="F25" s="7"/>
      <c r="G25" s="1"/>
      <c r="H25" s="8">
        <v>0.54946186247620599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8">
        <v>6.03539909681916E-2</v>
      </c>
      <c r="P25" s="7">
        <v>0</v>
      </c>
      <c r="Q25" s="7">
        <v>0</v>
      </c>
      <c r="R25" s="7"/>
      <c r="S25" s="4"/>
      <c r="T25" s="7"/>
      <c r="U25" s="7"/>
    </row>
    <row r="26" spans="1:21" x14ac:dyDescent="0.2">
      <c r="A26" s="3" t="s">
        <v>43</v>
      </c>
      <c r="B26" s="2" t="s">
        <v>14</v>
      </c>
      <c r="C26" s="1">
        <v>96</v>
      </c>
      <c r="D26" s="1" t="s">
        <v>6</v>
      </c>
      <c r="E26" s="1">
        <v>0.61799999999999999</v>
      </c>
      <c r="F26" s="1">
        <v>4.46</v>
      </c>
      <c r="G26" s="1">
        <f>F26*6.89476</f>
        <v>30.7506296</v>
      </c>
      <c r="H26" s="4">
        <v>6.0823285934215301</v>
      </c>
      <c r="I26" s="1">
        <v>0</v>
      </c>
      <c r="J26" s="1">
        <v>0</v>
      </c>
      <c r="K26" s="4">
        <v>1.75520779199004</v>
      </c>
      <c r="L26" s="1">
        <v>0</v>
      </c>
      <c r="M26" s="1">
        <v>0</v>
      </c>
      <c r="N26" s="1">
        <v>0</v>
      </c>
      <c r="O26" s="4">
        <v>8.8301804777299502</v>
      </c>
      <c r="P26" s="1">
        <v>0</v>
      </c>
      <c r="Q26" s="1">
        <v>0</v>
      </c>
      <c r="R26" s="4">
        <v>12.646841471733334</v>
      </c>
      <c r="S26" s="4">
        <f t="shared" si="1"/>
        <v>10.770982846733334</v>
      </c>
      <c r="T26" s="1">
        <v>65.516000000000005</v>
      </c>
      <c r="U26" s="1">
        <v>33.914000000000001</v>
      </c>
    </row>
    <row r="27" spans="1:21" x14ac:dyDescent="0.2">
      <c r="A27" s="3" t="s">
        <v>43</v>
      </c>
      <c r="B27" s="2" t="s">
        <v>14</v>
      </c>
      <c r="C27" s="1">
        <v>96</v>
      </c>
      <c r="D27" s="1" t="s">
        <v>7</v>
      </c>
      <c r="E27" s="1">
        <v>0.63</v>
      </c>
      <c r="F27" s="1">
        <v>4.4400000000000004</v>
      </c>
      <c r="G27" s="1">
        <f>F27*6.89476</f>
        <v>30.612734400000001</v>
      </c>
      <c r="H27" s="4">
        <v>5.2290938926298605</v>
      </c>
      <c r="I27" s="1">
        <v>0</v>
      </c>
      <c r="J27" s="1">
        <v>0</v>
      </c>
      <c r="K27" s="4">
        <v>1.81363322421578</v>
      </c>
      <c r="L27" s="1">
        <v>0</v>
      </c>
      <c r="M27" s="1">
        <v>0</v>
      </c>
      <c r="N27" s="12">
        <v>2.5753163410295E-3</v>
      </c>
      <c r="O27" s="4">
        <v>10.0356302033281</v>
      </c>
      <c r="P27" s="1">
        <v>0</v>
      </c>
      <c r="Q27" s="1">
        <v>0</v>
      </c>
      <c r="R27" s="4">
        <v>12.624591366400001</v>
      </c>
      <c r="S27" s="4">
        <f t="shared" si="1"/>
        <v>10.748732741400001</v>
      </c>
      <c r="T27" s="1">
        <v>58.759</v>
      </c>
      <c r="U27" s="1">
        <v>44.117000000000004</v>
      </c>
    </row>
    <row r="28" spans="1:21" x14ac:dyDescent="0.2">
      <c r="A28" s="3" t="s">
        <v>43</v>
      </c>
      <c r="B28" s="2" t="s">
        <v>14</v>
      </c>
      <c r="C28" s="1">
        <v>96</v>
      </c>
      <c r="D28" s="1" t="s">
        <v>8</v>
      </c>
      <c r="E28" s="1">
        <v>0.61799999999999999</v>
      </c>
      <c r="F28" s="1">
        <v>4.5200000000000005</v>
      </c>
      <c r="G28" s="1">
        <f>F28*6.89476</f>
        <v>31.164315200000001</v>
      </c>
      <c r="H28" s="4">
        <v>6.1334715248989005</v>
      </c>
      <c r="I28" s="1">
        <v>0</v>
      </c>
      <c r="J28" s="1">
        <v>0</v>
      </c>
      <c r="K28" s="4">
        <v>1.7632437779557</v>
      </c>
      <c r="L28" s="1">
        <v>0</v>
      </c>
      <c r="M28" s="1">
        <v>0</v>
      </c>
      <c r="N28" s="1">
        <v>0</v>
      </c>
      <c r="O28" s="4">
        <v>10.5091844675357</v>
      </c>
      <c r="P28" s="1">
        <v>0</v>
      </c>
      <c r="Q28" s="1">
        <v>0</v>
      </c>
      <c r="R28" s="4">
        <v>12.823619922400001</v>
      </c>
      <c r="S28" s="4">
        <f t="shared" si="1"/>
        <v>10.947761297400001</v>
      </c>
      <c r="T28" s="1">
        <v>66.230999999999995</v>
      </c>
      <c r="U28" s="1">
        <v>38.743000000000009</v>
      </c>
    </row>
    <row r="29" spans="1:21" x14ac:dyDescent="0.2">
      <c r="A29" s="3" t="s">
        <v>43</v>
      </c>
      <c r="B29" s="2" t="s">
        <v>14</v>
      </c>
      <c r="C29" s="1">
        <v>96</v>
      </c>
      <c r="D29" s="1" t="s">
        <v>9</v>
      </c>
      <c r="E29" s="1">
        <v>0.63600000000000001</v>
      </c>
      <c r="F29" s="1">
        <v>4.5</v>
      </c>
      <c r="G29" s="1">
        <f>F29*6.89476</f>
        <v>31.026419999999998</v>
      </c>
      <c r="H29" s="4">
        <v>6.0782361364019897</v>
      </c>
      <c r="I29" s="1">
        <v>0</v>
      </c>
      <c r="J29" s="1">
        <v>0</v>
      </c>
      <c r="K29" s="4">
        <v>1.7631049718460601</v>
      </c>
      <c r="L29" s="1">
        <v>0</v>
      </c>
      <c r="M29" s="1">
        <v>0</v>
      </c>
      <c r="N29" s="1">
        <v>0</v>
      </c>
      <c r="O29" s="4">
        <v>10.0250139174011</v>
      </c>
      <c r="P29" s="1">
        <v>0</v>
      </c>
      <c r="Q29" s="1">
        <v>0</v>
      </c>
      <c r="R29" s="4">
        <v>12.492313126400001</v>
      </c>
      <c r="S29" s="4">
        <f t="shared" si="1"/>
        <v>10.616454501400002</v>
      </c>
      <c r="T29" s="1">
        <v>56.558</v>
      </c>
      <c r="U29" s="1">
        <v>48.381999999999998</v>
      </c>
    </row>
    <row r="30" spans="1:21" x14ac:dyDescent="0.2">
      <c r="A30" s="3" t="s">
        <v>43</v>
      </c>
      <c r="B30" s="2" t="s">
        <v>13</v>
      </c>
      <c r="C30" s="1">
        <v>96</v>
      </c>
      <c r="D30" s="1" t="s">
        <v>6</v>
      </c>
      <c r="E30" s="1">
        <v>0</v>
      </c>
      <c r="F30" s="1"/>
      <c r="G30" s="1"/>
      <c r="H30" s="4">
        <v>0.67124743139797205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4">
        <v>0.171835304448682</v>
      </c>
      <c r="P30" s="1">
        <v>0</v>
      </c>
      <c r="Q30" s="1">
        <v>0</v>
      </c>
      <c r="R30" s="4">
        <v>3.4380014336000007</v>
      </c>
      <c r="S30" s="4">
        <f t="shared" si="1"/>
        <v>1.5621428086000009</v>
      </c>
      <c r="T30" s="1">
        <v>90.188999999999993</v>
      </c>
      <c r="U30" s="1">
        <v>0</v>
      </c>
    </row>
    <row r="31" spans="1:21" x14ac:dyDescent="0.2">
      <c r="A31" s="3" t="s">
        <v>43</v>
      </c>
      <c r="B31" s="2" t="s">
        <v>13</v>
      </c>
      <c r="C31" s="1">
        <v>96</v>
      </c>
      <c r="D31" s="1" t="s">
        <v>7</v>
      </c>
      <c r="E31" s="1">
        <v>0</v>
      </c>
      <c r="F31" s="1"/>
      <c r="G31" s="1"/>
      <c r="H31" s="4">
        <v>0.595797766236277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4">
        <v>0.11217917643907199</v>
      </c>
      <c r="P31" s="1">
        <v>0</v>
      </c>
      <c r="Q31" s="1">
        <v>0</v>
      </c>
      <c r="R31" s="4">
        <v>3.6710542336000005</v>
      </c>
      <c r="S31" s="4">
        <f t="shared" si="1"/>
        <v>1.7951956086000007</v>
      </c>
      <c r="T31" s="1">
        <v>106.369</v>
      </c>
      <c r="U31" s="1">
        <v>0</v>
      </c>
    </row>
    <row r="32" spans="1:21" x14ac:dyDescent="0.2">
      <c r="A32" s="3" t="s">
        <v>43</v>
      </c>
      <c r="B32" s="2" t="s">
        <v>13</v>
      </c>
      <c r="C32" s="1">
        <v>96</v>
      </c>
      <c r="D32" s="1" t="s">
        <v>8</v>
      </c>
      <c r="E32" s="1">
        <v>0</v>
      </c>
      <c r="F32" s="1"/>
      <c r="G32" s="1"/>
      <c r="H32" s="4">
        <v>0.55023238199009794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4">
        <v>7.6722548325945397E-2</v>
      </c>
      <c r="P32" s="1">
        <v>0</v>
      </c>
      <c r="Q32" s="1">
        <v>0</v>
      </c>
      <c r="R32" s="4">
        <v>3.3808415000000007</v>
      </c>
      <c r="S32" s="4">
        <f t="shared" si="1"/>
        <v>1.5049828750000009</v>
      </c>
      <c r="T32" s="1">
        <v>106.529</v>
      </c>
      <c r="U32" s="1">
        <v>0</v>
      </c>
    </row>
    <row r="33" spans="1:21" x14ac:dyDescent="0.2">
      <c r="A33" s="3" t="s">
        <v>43</v>
      </c>
      <c r="B33" s="6" t="s">
        <v>13</v>
      </c>
      <c r="C33" s="7">
        <v>96</v>
      </c>
      <c r="D33" s="7" t="s">
        <v>9</v>
      </c>
      <c r="E33" s="7">
        <v>0</v>
      </c>
      <c r="F33" s="7"/>
      <c r="G33" s="1"/>
      <c r="H33" s="8">
        <v>0.54354477151818903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8">
        <v>7.9512100935376695E-2</v>
      </c>
      <c r="P33" s="7">
        <v>0</v>
      </c>
      <c r="Q33" s="7">
        <v>0</v>
      </c>
      <c r="R33" s="8">
        <v>3.8582420024000004</v>
      </c>
      <c r="S33" s="4">
        <f t="shared" si="1"/>
        <v>1.9823833774000006</v>
      </c>
      <c r="T33" s="7">
        <v>110.73</v>
      </c>
      <c r="U33" s="7">
        <v>0</v>
      </c>
    </row>
    <row r="34" spans="1:21" x14ac:dyDescent="0.2">
      <c r="A34" s="3" t="s">
        <v>43</v>
      </c>
      <c r="B34" s="2" t="s">
        <v>14</v>
      </c>
      <c r="C34" s="1">
        <v>144</v>
      </c>
      <c r="D34" s="1" t="s">
        <v>6</v>
      </c>
      <c r="E34" s="1">
        <v>0.56499999999999995</v>
      </c>
      <c r="F34" s="1">
        <v>4.66</v>
      </c>
      <c r="G34" s="1">
        <f t="shared" ref="G34:G53" si="2">F34*6.89476</f>
        <v>32.129581600000002</v>
      </c>
      <c r="H34" s="4">
        <v>5.5683267527923297</v>
      </c>
      <c r="I34" s="1">
        <v>0</v>
      </c>
      <c r="J34" s="1">
        <v>0</v>
      </c>
      <c r="K34" s="4">
        <v>1.7155822365763098</v>
      </c>
      <c r="L34" s="1">
        <v>0</v>
      </c>
      <c r="M34" s="1">
        <v>0</v>
      </c>
      <c r="N34" s="1">
        <v>0</v>
      </c>
      <c r="O34" s="4">
        <v>9.7575085317174608</v>
      </c>
      <c r="P34" s="1">
        <v>0</v>
      </c>
      <c r="Q34" s="1">
        <v>0</v>
      </c>
      <c r="R34" s="4">
        <v>12.451841499999999</v>
      </c>
      <c r="S34" s="4">
        <f t="shared" si="1"/>
        <v>10.575982874999999</v>
      </c>
      <c r="T34" s="1">
        <v>66.177000000000007</v>
      </c>
      <c r="U34" s="1">
        <v>33.253</v>
      </c>
    </row>
    <row r="35" spans="1:21" x14ac:dyDescent="0.2">
      <c r="A35" s="3" t="s">
        <v>43</v>
      </c>
      <c r="B35" s="2" t="s">
        <v>14</v>
      </c>
      <c r="C35" s="1">
        <v>144</v>
      </c>
      <c r="D35" s="1" t="s">
        <v>7</v>
      </c>
      <c r="E35" s="1">
        <v>0.54700000000000004</v>
      </c>
      <c r="F35" s="1">
        <v>4.4800000000000004</v>
      </c>
      <c r="G35" s="1">
        <f t="shared" si="2"/>
        <v>30.888524800000003</v>
      </c>
      <c r="H35" s="4">
        <v>6.6221693644135504</v>
      </c>
      <c r="I35" s="1">
        <v>0</v>
      </c>
      <c r="J35" s="1">
        <v>0</v>
      </c>
      <c r="K35" s="4">
        <v>1.8841087108839001</v>
      </c>
      <c r="L35" s="1">
        <v>0</v>
      </c>
      <c r="M35" s="1">
        <v>0</v>
      </c>
      <c r="N35" s="1">
        <v>0</v>
      </c>
      <c r="O35" s="4">
        <v>11.376390859013199</v>
      </c>
      <c r="P35" s="1">
        <v>0</v>
      </c>
      <c r="Q35" s="1">
        <v>0</v>
      </c>
      <c r="R35" s="4">
        <v>13.180698140000002</v>
      </c>
      <c r="S35" s="4">
        <f t="shared" si="1"/>
        <v>11.304839515000003</v>
      </c>
      <c r="T35" s="1">
        <v>65.364000000000004</v>
      </c>
      <c r="U35" s="1">
        <v>37.512</v>
      </c>
    </row>
    <row r="36" spans="1:21" x14ac:dyDescent="0.2">
      <c r="A36" s="3" t="s">
        <v>43</v>
      </c>
      <c r="B36" s="2" t="s">
        <v>14</v>
      </c>
      <c r="C36" s="1">
        <v>144</v>
      </c>
      <c r="D36" s="1" t="s">
        <v>8</v>
      </c>
      <c r="E36" s="1">
        <v>0.54800000000000004</v>
      </c>
      <c r="F36" s="1">
        <v>4.5600000000000005</v>
      </c>
      <c r="G36" s="1">
        <f t="shared" si="2"/>
        <v>31.440105600000003</v>
      </c>
      <c r="H36" s="4">
        <v>6.4286691843192898</v>
      </c>
      <c r="I36" s="1">
        <v>0</v>
      </c>
      <c r="J36" s="1">
        <v>0</v>
      </c>
      <c r="K36" s="4">
        <v>1.9903416299756298</v>
      </c>
      <c r="L36" s="1">
        <v>0</v>
      </c>
      <c r="M36" s="1">
        <v>0</v>
      </c>
      <c r="N36" s="1">
        <v>0</v>
      </c>
      <c r="O36" s="4">
        <v>11.282870804054602</v>
      </c>
      <c r="P36" s="1">
        <v>0</v>
      </c>
      <c r="Q36" s="1">
        <v>0</v>
      </c>
      <c r="R36" s="4">
        <v>13.144022489599999</v>
      </c>
      <c r="S36" s="4">
        <f t="shared" si="1"/>
        <v>11.2681638646</v>
      </c>
      <c r="T36" s="1">
        <v>64.644999999999996</v>
      </c>
      <c r="U36" s="1">
        <v>40.329000000000008</v>
      </c>
    </row>
    <row r="37" spans="1:21" x14ac:dyDescent="0.2">
      <c r="A37" s="3" t="s">
        <v>43</v>
      </c>
      <c r="B37" s="2" t="s">
        <v>14</v>
      </c>
      <c r="C37" s="1">
        <v>144</v>
      </c>
      <c r="D37" s="1" t="s">
        <v>9</v>
      </c>
      <c r="E37" s="1">
        <v>0.51400000000000001</v>
      </c>
      <c r="F37" s="1">
        <v>4.5999999999999996</v>
      </c>
      <c r="G37" s="1">
        <f t="shared" si="2"/>
        <v>31.715895999999997</v>
      </c>
      <c r="H37" s="4">
        <v>6.1319381527569909</v>
      </c>
      <c r="I37" s="1">
        <v>0</v>
      </c>
      <c r="J37" s="1">
        <v>0</v>
      </c>
      <c r="K37" s="4">
        <v>1.6567992461301602</v>
      </c>
      <c r="L37" s="1">
        <v>0</v>
      </c>
      <c r="M37" s="1">
        <v>0</v>
      </c>
      <c r="N37" s="1">
        <v>0</v>
      </c>
      <c r="O37" s="4">
        <v>10.8987553164633</v>
      </c>
      <c r="P37" s="1">
        <v>0</v>
      </c>
      <c r="Q37" s="1">
        <v>0</v>
      </c>
      <c r="R37" s="4">
        <v>12.925520709866667</v>
      </c>
      <c r="S37" s="4">
        <f t="shared" si="1"/>
        <v>11.049662084866668</v>
      </c>
      <c r="T37" s="1">
        <v>66.843999999999994</v>
      </c>
      <c r="U37" s="1">
        <v>38.096000000000004</v>
      </c>
    </row>
    <row r="38" spans="1:21" x14ac:dyDescent="0.2">
      <c r="A38" s="3" t="s">
        <v>43</v>
      </c>
      <c r="B38" s="2" t="s">
        <v>13</v>
      </c>
      <c r="C38" s="1">
        <v>144</v>
      </c>
      <c r="D38" s="1" t="s">
        <v>6</v>
      </c>
      <c r="E38" s="1">
        <v>0.183</v>
      </c>
      <c r="F38" s="1">
        <v>0.56000000000000938</v>
      </c>
      <c r="G38" s="1">
        <f t="shared" si="2"/>
        <v>3.8610656000000647</v>
      </c>
      <c r="H38" s="4">
        <v>2.80054465787686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4">
        <v>1.9923117066460798</v>
      </c>
      <c r="P38" s="1">
        <v>0</v>
      </c>
      <c r="Q38" s="1">
        <v>0</v>
      </c>
      <c r="R38" s="4">
        <v>6.2828078655999997</v>
      </c>
      <c r="S38" s="4">
        <f t="shared" si="1"/>
        <v>4.4069492405999995</v>
      </c>
      <c r="T38" s="1">
        <v>101.367</v>
      </c>
      <c r="U38" s="1">
        <v>3.5339999999999918</v>
      </c>
    </row>
    <row r="39" spans="1:21" x14ac:dyDescent="0.2">
      <c r="A39" s="3" t="s">
        <v>43</v>
      </c>
      <c r="B39" s="2" t="s">
        <v>13</v>
      </c>
      <c r="C39" s="1">
        <v>144</v>
      </c>
      <c r="D39" s="1" t="s">
        <v>7</v>
      </c>
      <c r="E39" s="1">
        <v>0.33600000000000002</v>
      </c>
      <c r="F39" s="1">
        <v>0.66000000000000192</v>
      </c>
      <c r="G39" s="1">
        <f t="shared" si="2"/>
        <v>4.5505416000000132</v>
      </c>
      <c r="H39" s="4">
        <v>2.2410672943954397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4">
        <v>3.6905932629490601</v>
      </c>
      <c r="P39" s="1">
        <v>0</v>
      </c>
      <c r="Q39" s="1">
        <v>0</v>
      </c>
      <c r="R39" s="4">
        <v>8.1010457144000014</v>
      </c>
      <c r="S39" s="4">
        <f t="shared" si="1"/>
        <v>6.2251870894000021</v>
      </c>
      <c r="T39" s="1">
        <v>93.855000000000004</v>
      </c>
      <c r="U39" s="1">
        <v>11.753999999999991</v>
      </c>
    </row>
    <row r="40" spans="1:21" x14ac:dyDescent="0.2">
      <c r="A40" s="3" t="s">
        <v>43</v>
      </c>
      <c r="B40" s="2" t="s">
        <v>13</v>
      </c>
      <c r="C40" s="1">
        <v>144</v>
      </c>
      <c r="D40" s="1" t="s">
        <v>8</v>
      </c>
      <c r="E40" s="1">
        <v>0.375</v>
      </c>
      <c r="F40" s="1">
        <v>0.89999999999999858</v>
      </c>
      <c r="G40" s="1">
        <f t="shared" si="2"/>
        <v>6.20528399999999</v>
      </c>
      <c r="H40" s="4">
        <v>1.5730855618378601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4">
        <v>5.0903783753292098</v>
      </c>
      <c r="P40" s="1">
        <v>0</v>
      </c>
      <c r="Q40" s="1">
        <v>0</v>
      </c>
      <c r="R40" s="4">
        <v>9.6989336215999984</v>
      </c>
      <c r="S40" s="4">
        <f t="shared" si="1"/>
        <v>7.8230749965999991</v>
      </c>
      <c r="T40" s="1">
        <v>92.545000000000002</v>
      </c>
      <c r="U40" s="1">
        <v>13.756</v>
      </c>
    </row>
    <row r="41" spans="1:21" x14ac:dyDescent="0.2">
      <c r="A41" s="3" t="s">
        <v>43</v>
      </c>
      <c r="B41" s="2" t="s">
        <v>13</v>
      </c>
      <c r="C41" s="7">
        <v>144</v>
      </c>
      <c r="D41" s="7" t="s">
        <v>9</v>
      </c>
      <c r="E41" s="7">
        <v>0.34399999999999997</v>
      </c>
      <c r="F41" s="7">
        <v>0.99999999999999645</v>
      </c>
      <c r="G41" s="1">
        <f t="shared" si="2"/>
        <v>6.8947599999999749</v>
      </c>
      <c r="H41" s="8">
        <v>1.6447369980170601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8">
        <v>4.3199297701173398</v>
      </c>
      <c r="P41" s="7">
        <v>0</v>
      </c>
      <c r="Q41" s="7">
        <v>0</v>
      </c>
      <c r="R41" s="8">
        <v>9.8241298744000023</v>
      </c>
      <c r="S41" s="4">
        <f t="shared" si="1"/>
        <v>7.948271249400003</v>
      </c>
      <c r="T41" s="7">
        <v>97.569000000000003</v>
      </c>
      <c r="U41" s="7">
        <v>9.465999999999994</v>
      </c>
    </row>
    <row r="42" spans="1:21" x14ac:dyDescent="0.2">
      <c r="A42" s="3" t="s">
        <v>43</v>
      </c>
      <c r="B42" s="2" t="s">
        <v>14</v>
      </c>
      <c r="C42" s="1">
        <v>168</v>
      </c>
      <c r="D42" s="1" t="s">
        <v>6</v>
      </c>
      <c r="E42" s="1">
        <v>0.51200000000000001</v>
      </c>
      <c r="F42" s="1">
        <v>4.66</v>
      </c>
      <c r="G42" s="1">
        <f t="shared" si="2"/>
        <v>32.129581600000002</v>
      </c>
      <c r="H42" s="4">
        <v>7.1059999999999999</v>
      </c>
      <c r="I42" s="1">
        <v>0</v>
      </c>
      <c r="J42" s="1">
        <v>0</v>
      </c>
      <c r="K42" s="4">
        <v>1.7051119316473899</v>
      </c>
      <c r="L42" s="1">
        <v>0</v>
      </c>
      <c r="M42" s="1">
        <v>0</v>
      </c>
      <c r="N42" s="1">
        <v>0</v>
      </c>
      <c r="O42" s="4">
        <v>9.9297685681688996</v>
      </c>
      <c r="P42" s="1">
        <v>0</v>
      </c>
      <c r="Q42" s="1">
        <v>0</v>
      </c>
      <c r="R42" s="4">
        <v>12.4156559936</v>
      </c>
      <c r="S42" s="4">
        <f t="shared" si="1"/>
        <v>10.5397973686</v>
      </c>
      <c r="T42" s="1">
        <v>65.501000000000005</v>
      </c>
      <c r="U42" s="1">
        <v>33.929000000000002</v>
      </c>
    </row>
    <row r="43" spans="1:21" x14ac:dyDescent="0.2">
      <c r="A43" s="3" t="s">
        <v>43</v>
      </c>
      <c r="B43" s="2" t="s">
        <v>14</v>
      </c>
      <c r="C43" s="1">
        <v>168</v>
      </c>
      <c r="D43" s="1" t="s">
        <v>7</v>
      </c>
      <c r="E43" s="1">
        <v>0.55400000000000005</v>
      </c>
      <c r="F43" s="1">
        <v>4.4800000000000004</v>
      </c>
      <c r="G43" s="1">
        <f t="shared" si="2"/>
        <v>30.888524800000003</v>
      </c>
      <c r="H43" s="4">
        <v>6.6050000000000004</v>
      </c>
      <c r="I43" s="1">
        <v>0</v>
      </c>
      <c r="J43" s="1">
        <v>0</v>
      </c>
      <c r="K43" s="4">
        <v>1.8062340623474902</v>
      </c>
      <c r="L43" s="1">
        <v>0</v>
      </c>
      <c r="M43" s="1">
        <v>0</v>
      </c>
      <c r="N43" s="1">
        <v>0</v>
      </c>
      <c r="O43" s="4">
        <v>10.635873674441001</v>
      </c>
      <c r="P43" s="1">
        <v>0</v>
      </c>
      <c r="Q43" s="1">
        <v>0</v>
      </c>
      <c r="R43" s="4">
        <v>13.072898540000002</v>
      </c>
      <c r="S43" s="4">
        <f t="shared" si="1"/>
        <v>11.197039915000003</v>
      </c>
      <c r="T43" s="1">
        <v>64.191000000000003</v>
      </c>
      <c r="U43" s="1">
        <v>38.685000000000002</v>
      </c>
    </row>
    <row r="44" spans="1:21" x14ac:dyDescent="0.2">
      <c r="A44" s="3" t="s">
        <v>43</v>
      </c>
      <c r="B44" s="2" t="s">
        <v>14</v>
      </c>
      <c r="C44" s="1">
        <v>168</v>
      </c>
      <c r="D44" s="1" t="s">
        <v>8</v>
      </c>
      <c r="E44" s="1">
        <v>0.56000000000000005</v>
      </c>
      <c r="F44" s="1">
        <v>4.5600000000000005</v>
      </c>
      <c r="G44" s="1">
        <f t="shared" si="2"/>
        <v>31.440105600000003</v>
      </c>
      <c r="H44" s="4">
        <v>6.4989999999999997</v>
      </c>
      <c r="I44" s="1">
        <v>0</v>
      </c>
      <c r="J44" s="1">
        <v>0</v>
      </c>
      <c r="K44" s="4">
        <v>1.7526148127982399</v>
      </c>
      <c r="L44" s="1">
        <v>0</v>
      </c>
      <c r="M44" s="1">
        <v>0</v>
      </c>
      <c r="N44" s="1">
        <v>0</v>
      </c>
      <c r="O44" s="4">
        <v>10.947170776591799</v>
      </c>
      <c r="P44" s="1">
        <v>0</v>
      </c>
      <c r="Q44" s="1">
        <v>0</v>
      </c>
      <c r="R44" s="4">
        <v>13.1289278744</v>
      </c>
      <c r="S44" s="4">
        <f t="shared" si="1"/>
        <v>11.253069249400001</v>
      </c>
      <c r="T44" s="1">
        <v>64.936000000000007</v>
      </c>
      <c r="U44" s="1">
        <v>40.037999999999997</v>
      </c>
    </row>
    <row r="45" spans="1:21" x14ac:dyDescent="0.2">
      <c r="A45" s="3" t="s">
        <v>43</v>
      </c>
      <c r="B45" s="2" t="s">
        <v>14</v>
      </c>
      <c r="C45" s="1">
        <v>168</v>
      </c>
      <c r="D45" s="1" t="s">
        <v>9</v>
      </c>
      <c r="E45" s="1">
        <v>0.52400000000000002</v>
      </c>
      <c r="F45" s="1">
        <v>4.5999999999999996</v>
      </c>
      <c r="G45" s="1">
        <f t="shared" si="2"/>
        <v>31.715895999999997</v>
      </c>
      <c r="H45" s="4">
        <v>5.5540000000000003</v>
      </c>
      <c r="I45" s="1">
        <v>0</v>
      </c>
      <c r="J45" s="1">
        <v>0</v>
      </c>
      <c r="K45" s="4">
        <v>1.8121914181439001</v>
      </c>
      <c r="L45" s="1">
        <v>0</v>
      </c>
      <c r="M45" s="1">
        <v>0</v>
      </c>
      <c r="N45" s="1">
        <v>0</v>
      </c>
      <c r="O45" s="4">
        <v>10.4470974693191</v>
      </c>
      <c r="P45" s="1">
        <v>0</v>
      </c>
      <c r="Q45" s="1">
        <v>0</v>
      </c>
      <c r="R45" s="4">
        <v>11.2436045624</v>
      </c>
      <c r="S45" s="4">
        <f t="shared" si="1"/>
        <v>9.3677459374000005</v>
      </c>
      <c r="T45" s="1">
        <v>56.262</v>
      </c>
      <c r="U45" s="1">
        <v>48.677999999999997</v>
      </c>
    </row>
    <row r="46" spans="1:21" x14ac:dyDescent="0.2">
      <c r="A46" s="3" t="s">
        <v>43</v>
      </c>
      <c r="B46" s="2" t="s">
        <v>13</v>
      </c>
      <c r="C46" s="1">
        <v>168</v>
      </c>
      <c r="D46" s="1" t="s">
        <v>6</v>
      </c>
      <c r="E46" s="1">
        <v>0.36799999999999999</v>
      </c>
      <c r="F46" s="1">
        <v>0.92000000000000881</v>
      </c>
      <c r="G46" s="1">
        <f t="shared" si="2"/>
        <v>6.3431792000000602</v>
      </c>
      <c r="H46" s="4">
        <v>1.36479064821347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4">
        <v>5.0783530019101502</v>
      </c>
      <c r="P46" s="1">
        <v>0</v>
      </c>
      <c r="Q46" s="1">
        <v>0</v>
      </c>
      <c r="R46" s="4">
        <v>8.4943703936000006</v>
      </c>
      <c r="S46" s="4">
        <f t="shared" si="1"/>
        <v>6.6185117686000012</v>
      </c>
      <c r="T46" s="1">
        <v>94.257999999999996</v>
      </c>
      <c r="U46" s="1">
        <v>10.643000000000001</v>
      </c>
    </row>
    <row r="47" spans="1:21" x14ac:dyDescent="0.2">
      <c r="A47" s="3" t="s">
        <v>43</v>
      </c>
      <c r="B47" s="2" t="s">
        <v>13</v>
      </c>
      <c r="C47" s="1">
        <v>168</v>
      </c>
      <c r="D47" s="1" t="s">
        <v>7</v>
      </c>
      <c r="E47" s="1">
        <v>0.39600000000000002</v>
      </c>
      <c r="F47" s="1">
        <v>0.90000000000000036</v>
      </c>
      <c r="G47" s="1">
        <f t="shared" si="2"/>
        <v>6.2052840000000025</v>
      </c>
      <c r="H47" s="4">
        <v>1.71830747477969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4">
        <v>6.1906814436365103</v>
      </c>
      <c r="P47" s="1">
        <v>0</v>
      </c>
      <c r="Q47" s="1">
        <v>0</v>
      </c>
      <c r="R47" s="4">
        <v>11.464625077600003</v>
      </c>
      <c r="S47" s="4">
        <f t="shared" si="1"/>
        <v>9.5887664526000034</v>
      </c>
      <c r="T47" s="1">
        <v>88.578999999999994</v>
      </c>
      <c r="U47" s="1">
        <v>17.03</v>
      </c>
    </row>
    <row r="48" spans="1:21" x14ac:dyDescent="0.2">
      <c r="A48" s="3" t="s">
        <v>43</v>
      </c>
      <c r="B48" s="2" t="s">
        <v>13</v>
      </c>
      <c r="C48" s="1">
        <v>168</v>
      </c>
      <c r="D48" s="1" t="s">
        <v>8</v>
      </c>
      <c r="E48" s="1">
        <v>0.35699999999999998</v>
      </c>
      <c r="F48" s="1">
        <v>0.91999999999999993</v>
      </c>
      <c r="G48" s="1">
        <f t="shared" si="2"/>
        <v>6.3431791999999989</v>
      </c>
      <c r="H48" s="4">
        <v>2.3637230845305601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4">
        <v>5.77448183534732</v>
      </c>
      <c r="P48" s="1">
        <v>0</v>
      </c>
      <c r="Q48" s="1">
        <v>0</v>
      </c>
      <c r="R48" s="4">
        <v>10.9531509304</v>
      </c>
      <c r="S48" s="4">
        <f t="shared" si="1"/>
        <v>9.0772923054000003</v>
      </c>
      <c r="T48" s="1">
        <v>92.302999999999997</v>
      </c>
      <c r="U48" s="1">
        <v>13.998000000000005</v>
      </c>
    </row>
    <row r="49" spans="1:21" x14ac:dyDescent="0.2">
      <c r="A49" s="3" t="s">
        <v>43</v>
      </c>
      <c r="B49" s="2" t="s">
        <v>13</v>
      </c>
      <c r="C49" s="7">
        <v>168</v>
      </c>
      <c r="D49" s="7" t="s">
        <v>9</v>
      </c>
      <c r="E49" s="7">
        <v>0.38</v>
      </c>
      <c r="F49" s="7">
        <v>1.1599999999999966</v>
      </c>
      <c r="G49" s="1">
        <f t="shared" si="2"/>
        <v>7.9979215999999766</v>
      </c>
      <c r="H49" s="8">
        <v>1.59734372464305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8">
        <v>6.10810049886119</v>
      </c>
      <c r="P49" s="7">
        <v>0</v>
      </c>
      <c r="Q49" s="7">
        <v>0</v>
      </c>
      <c r="R49" s="8">
        <v>12.4603592984</v>
      </c>
      <c r="S49" s="4">
        <f t="shared" si="1"/>
        <v>10.584500673400001</v>
      </c>
      <c r="T49" s="7">
        <v>95.42</v>
      </c>
      <c r="U49" s="7">
        <v>11.614999999999995</v>
      </c>
    </row>
    <row r="50" spans="1:21" x14ac:dyDescent="0.2">
      <c r="A50" s="3" t="s">
        <v>43</v>
      </c>
      <c r="B50" s="2" t="s">
        <v>13</v>
      </c>
      <c r="C50" s="1">
        <v>192</v>
      </c>
      <c r="D50" s="1" t="s">
        <v>6</v>
      </c>
      <c r="E50" s="1">
        <v>0.36399999999999999</v>
      </c>
      <c r="F50" s="1">
        <v>1.5200000000000067</v>
      </c>
      <c r="G50" s="1">
        <f t="shared" si="2"/>
        <v>10.480035200000046</v>
      </c>
      <c r="H50" s="13">
        <v>1.2450000000000001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4">
        <v>4.6791503777630403</v>
      </c>
      <c r="P50" s="1">
        <v>0</v>
      </c>
      <c r="Q50" s="1">
        <v>0</v>
      </c>
      <c r="R50" s="4">
        <v>11.6467406464</v>
      </c>
      <c r="S50" s="4">
        <f t="shared" si="1"/>
        <v>9.7708820214000003</v>
      </c>
      <c r="T50" s="1">
        <v>91.191000000000003</v>
      </c>
      <c r="U50" s="1">
        <v>13.709999999999994</v>
      </c>
    </row>
    <row r="51" spans="1:21" x14ac:dyDescent="0.2">
      <c r="A51" s="3" t="s">
        <v>43</v>
      </c>
      <c r="B51" s="2" t="s">
        <v>13</v>
      </c>
      <c r="C51" s="1">
        <v>192</v>
      </c>
      <c r="D51" s="1" t="s">
        <v>7</v>
      </c>
      <c r="E51" s="1">
        <v>0.39200000000000002</v>
      </c>
      <c r="F51" s="1">
        <v>1.6400000000000006</v>
      </c>
      <c r="G51" s="1">
        <f t="shared" si="2"/>
        <v>11.307406400000003</v>
      </c>
      <c r="H51" s="13">
        <v>2.2170000000000001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4">
        <v>5.9315564922103805</v>
      </c>
      <c r="P51" s="1">
        <v>0</v>
      </c>
      <c r="Q51" s="1">
        <v>0</v>
      </c>
      <c r="R51" s="4">
        <v>8.4590076223999997</v>
      </c>
      <c r="S51" s="4">
        <f t="shared" si="1"/>
        <v>6.5831489974000004</v>
      </c>
      <c r="T51" s="1">
        <v>88.528999999999996</v>
      </c>
      <c r="U51" s="1">
        <v>17.079999999999998</v>
      </c>
    </row>
    <row r="52" spans="1:21" x14ac:dyDescent="0.2">
      <c r="A52" s="3" t="s">
        <v>43</v>
      </c>
      <c r="B52" s="2" t="s">
        <v>13</v>
      </c>
      <c r="C52" s="1">
        <v>192</v>
      </c>
      <c r="D52" s="1" t="s">
        <v>8</v>
      </c>
      <c r="E52" s="1">
        <v>0.371</v>
      </c>
      <c r="F52" s="1">
        <v>1.5400000000000009</v>
      </c>
      <c r="G52" s="1">
        <f t="shared" si="2"/>
        <v>10.617930400000006</v>
      </c>
      <c r="H52" s="13">
        <v>2.3380000000000001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4">
        <v>5.5400604519802403</v>
      </c>
      <c r="P52" s="1">
        <v>0</v>
      </c>
      <c r="Q52" s="1">
        <v>0</v>
      </c>
      <c r="R52" s="4">
        <v>11.393627909599999</v>
      </c>
      <c r="S52" s="4">
        <f t="shared" si="1"/>
        <v>9.5177692845999999</v>
      </c>
      <c r="T52" s="1">
        <v>90.512</v>
      </c>
      <c r="U52" s="1">
        <v>15.789000000000001</v>
      </c>
    </row>
    <row r="53" spans="1:21" x14ac:dyDescent="0.2">
      <c r="A53" s="3" t="s">
        <v>43</v>
      </c>
      <c r="B53" s="2" t="s">
        <v>13</v>
      </c>
      <c r="C53" s="1">
        <v>192</v>
      </c>
      <c r="D53" s="1" t="s">
        <v>9</v>
      </c>
      <c r="E53" s="1">
        <v>0.36899999999999999</v>
      </c>
      <c r="F53" s="1">
        <v>1.7799999999999958</v>
      </c>
      <c r="G53" s="1">
        <f t="shared" si="2"/>
        <v>12.27267279999997</v>
      </c>
      <c r="H53" s="13">
        <v>2.3380000000000001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4">
        <v>5.8280686162698299</v>
      </c>
      <c r="P53" s="1">
        <v>0</v>
      </c>
      <c r="Q53" s="1">
        <v>0</v>
      </c>
      <c r="R53" s="4">
        <v>9.3913763263999996</v>
      </c>
      <c r="S53" s="4">
        <f t="shared" si="1"/>
        <v>7.5155177014000003</v>
      </c>
      <c r="T53" s="1">
        <v>94.44</v>
      </c>
      <c r="U53" s="1">
        <v>12.594999999999999</v>
      </c>
    </row>
    <row r="56" spans="1:21" x14ac:dyDescent="0.2">
      <c r="S56">
        <f>O50/U50</f>
        <v>0.34129470297323433</v>
      </c>
    </row>
    <row r="57" spans="1:21" x14ac:dyDescent="0.2">
      <c r="S57">
        <f t="shared" ref="S57:S59" si="3">O51/U51</f>
        <v>0.34728082507086538</v>
      </c>
    </row>
    <row r="58" spans="1:21" x14ac:dyDescent="0.2">
      <c r="S58">
        <f t="shared" si="3"/>
        <v>0.35088102172273355</v>
      </c>
    </row>
    <row r="59" spans="1:21" x14ac:dyDescent="0.2">
      <c r="S59">
        <f t="shared" si="3"/>
        <v>0.46272875079554032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B84A-AF05-464C-9219-62BBFBD2B4C9}">
  <dimension ref="A1:Z19"/>
  <sheetViews>
    <sheetView topLeftCell="J1" zoomScale="85" workbookViewId="0">
      <selection activeCell="T17" sqref="T17"/>
    </sheetView>
  </sheetViews>
  <sheetFormatPr baseColWidth="10" defaultRowHeight="15" x14ac:dyDescent="0.2"/>
  <cols>
    <col min="31" max="31" width="15.33203125" customWidth="1"/>
    <col min="32" max="32" width="18.1640625" bestFit="1" customWidth="1"/>
  </cols>
  <sheetData>
    <row r="1" spans="1:26" x14ac:dyDescent="0.2">
      <c r="A1" s="30" t="s">
        <v>51</v>
      </c>
      <c r="B1" s="30"/>
      <c r="C1" s="30"/>
      <c r="D1" s="30"/>
      <c r="E1" s="30"/>
      <c r="F1" s="31"/>
      <c r="G1" s="29" t="s">
        <v>54</v>
      </c>
      <c r="H1" s="31"/>
      <c r="I1" s="29" t="s">
        <v>71</v>
      </c>
      <c r="J1" s="32"/>
      <c r="K1" s="32"/>
      <c r="L1" s="32"/>
      <c r="M1" s="29" t="s">
        <v>67</v>
      </c>
      <c r="N1" s="32"/>
      <c r="O1" s="32"/>
      <c r="P1" s="31"/>
      <c r="Q1" s="29" t="s">
        <v>68</v>
      </c>
      <c r="R1" s="32"/>
      <c r="S1" s="32"/>
      <c r="T1" s="32"/>
      <c r="U1" s="29" t="s">
        <v>63</v>
      </c>
      <c r="V1" s="31"/>
      <c r="W1" s="29" t="s">
        <v>66</v>
      </c>
      <c r="X1" s="32"/>
      <c r="Y1" s="32"/>
      <c r="Z1" s="32"/>
    </row>
    <row r="2" spans="1:26" x14ac:dyDescent="0.2">
      <c r="A2" s="17" t="s">
        <v>2</v>
      </c>
      <c r="B2" s="17" t="s">
        <v>20</v>
      </c>
      <c r="C2" s="17" t="s">
        <v>16</v>
      </c>
      <c r="D2" s="17" t="s">
        <v>4</v>
      </c>
      <c r="E2" s="17" t="s">
        <v>0</v>
      </c>
      <c r="F2" s="17" t="s">
        <v>47</v>
      </c>
      <c r="G2" s="18" t="s">
        <v>75</v>
      </c>
      <c r="H2" s="19" t="s">
        <v>76</v>
      </c>
      <c r="I2" s="20" t="s">
        <v>50</v>
      </c>
      <c r="J2" s="7" t="s">
        <v>77</v>
      </c>
      <c r="K2" s="7" t="s">
        <v>78</v>
      </c>
      <c r="L2" s="7" t="s">
        <v>79</v>
      </c>
      <c r="M2" s="20" t="s">
        <v>50</v>
      </c>
      <c r="N2" s="7" t="s">
        <v>77</v>
      </c>
      <c r="O2" s="7" t="s">
        <v>78</v>
      </c>
      <c r="P2" s="7" t="s">
        <v>79</v>
      </c>
      <c r="Q2" s="20" t="s">
        <v>50</v>
      </c>
      <c r="R2" s="7" t="s">
        <v>77</v>
      </c>
      <c r="S2" s="7" t="s">
        <v>78</v>
      </c>
      <c r="T2" s="7" t="s">
        <v>79</v>
      </c>
      <c r="U2" s="18" t="s">
        <v>48</v>
      </c>
      <c r="V2" s="35" t="s">
        <v>49</v>
      </c>
      <c r="W2" s="18" t="s">
        <v>64</v>
      </c>
      <c r="X2" s="35" t="s">
        <v>65</v>
      </c>
      <c r="Y2" s="17" t="s">
        <v>73</v>
      </c>
      <c r="Z2" s="35" t="s">
        <v>72</v>
      </c>
    </row>
    <row r="3" spans="1:26" x14ac:dyDescent="0.2">
      <c r="A3" s="3" t="s">
        <v>52</v>
      </c>
      <c r="B3" s="2" t="s">
        <v>14</v>
      </c>
      <c r="C3" s="1">
        <v>168</v>
      </c>
      <c r="D3" s="1" t="s">
        <v>6</v>
      </c>
      <c r="E3" s="1">
        <v>0.79600000000000004</v>
      </c>
      <c r="F3" s="21">
        <v>72.39497999999999</v>
      </c>
      <c r="G3" s="22">
        <v>13.410342527399997</v>
      </c>
      <c r="H3" s="23">
        <v>82.250373539999998</v>
      </c>
      <c r="I3" s="24">
        <v>18.615492920000001</v>
      </c>
      <c r="J3" s="4">
        <v>3.1557933368836597</v>
      </c>
      <c r="K3" s="4">
        <v>7.2105720902167905</v>
      </c>
      <c r="L3" s="25">
        <v>9.8183741340739701</v>
      </c>
      <c r="M3" s="4">
        <f>I3</f>
        <v>18.615492920000001</v>
      </c>
      <c r="N3" s="1">
        <f>(2*J3)-(3*J3)</f>
        <v>-3.1557933368836597</v>
      </c>
      <c r="O3" s="1">
        <f>(3*K3)-(6*K3)</f>
        <v>-21.631716270650372</v>
      </c>
      <c r="P3">
        <f>(4*L3)-(9*L3)</f>
        <v>-49.091870670369843</v>
      </c>
      <c r="Q3" s="24">
        <f>I3</f>
        <v>18.615492920000001</v>
      </c>
      <c r="R3" s="33">
        <f>(2*J3)+(1*J3)</f>
        <v>9.4673800106509791</v>
      </c>
      <c r="S3" s="33">
        <f>(3*K3)+(2*K3)</f>
        <v>36.052860451083951</v>
      </c>
      <c r="T3" s="33">
        <f>(4*L3)+(3*L3)</f>
        <v>68.728618938517798</v>
      </c>
      <c r="U3" s="34">
        <f>SUM(M3:P3)</f>
        <v>-55.263887357903876</v>
      </c>
      <c r="V3" s="26">
        <f>SUM(Q3:T3)</f>
        <v>132.86435232025272</v>
      </c>
      <c r="W3" s="34">
        <f>-1*U3</f>
        <v>55.263887357903876</v>
      </c>
      <c r="X3" s="36">
        <f>V3-W3</f>
        <v>77.600464962348838</v>
      </c>
      <c r="Y3" s="33">
        <f>X3/(H3+G3)</f>
        <v>0.81120514410192812</v>
      </c>
      <c r="Z3">
        <f>(I3+(2*J3)+(3*K3)+(4*L3))/(SUM(I3:L3))</f>
        <v>2.2121592297767481</v>
      </c>
    </row>
    <row r="4" spans="1:26" x14ac:dyDescent="0.2">
      <c r="A4" s="3" t="s">
        <v>52</v>
      </c>
      <c r="B4" s="2" t="s">
        <v>14</v>
      </c>
      <c r="C4" s="1">
        <v>168</v>
      </c>
      <c r="D4" s="1" t="s">
        <v>7</v>
      </c>
      <c r="E4" s="1">
        <v>0.73799999999999999</v>
      </c>
      <c r="F4" s="21">
        <v>71.153923199999994</v>
      </c>
      <c r="G4" s="22">
        <v>11.346948513400001</v>
      </c>
      <c r="H4" s="23">
        <v>84.004280289999997</v>
      </c>
      <c r="I4" s="24">
        <v>17.220946699999999</v>
      </c>
      <c r="J4" s="4">
        <v>2.8555738980157601</v>
      </c>
      <c r="K4" s="4">
        <v>6.5238960996804094</v>
      </c>
      <c r="L4" s="25">
        <v>8.9304341609755706</v>
      </c>
      <c r="M4" s="4">
        <f t="shared" ref="M4:M17" si="0">I4</f>
        <v>17.220946699999999</v>
      </c>
      <c r="N4" s="1">
        <f t="shared" ref="N4:N17" si="1">(2*J4)-(3*J4)</f>
        <v>-2.855573898015761</v>
      </c>
      <c r="O4" s="1">
        <f t="shared" ref="O4:O17" si="2">(3*K4)-(6*K4)</f>
        <v>-19.571688299041227</v>
      </c>
      <c r="P4">
        <f t="shared" ref="P4:P17" si="3">(4*L4)-(9*L4)</f>
        <v>-44.652170804877848</v>
      </c>
      <c r="Q4" s="24">
        <f t="shared" ref="Q4:Q17" si="4">I4</f>
        <v>17.220946699999999</v>
      </c>
      <c r="R4" s="33">
        <f t="shared" ref="R4:R17" si="5">(2*J4)+(1*J4)</f>
        <v>8.5667216940472812</v>
      </c>
      <c r="S4" s="33">
        <f t="shared" ref="S4:S17" si="6">(3*K4)+(2*K4)</f>
        <v>32.619480498402048</v>
      </c>
      <c r="T4" s="33">
        <f t="shared" ref="T4:T17" si="7">(4*L4)+(3*L4)</f>
        <v>62.513039126828993</v>
      </c>
      <c r="U4" s="34">
        <f t="shared" ref="U4:U17" si="8">SUM(M4:P4)</f>
        <v>-49.858486301934839</v>
      </c>
      <c r="V4" s="26">
        <f t="shared" ref="V4:V17" si="9">SUM(Q4:T4)</f>
        <v>120.92018801927833</v>
      </c>
      <c r="W4" s="34">
        <f t="shared" ref="W4:W17" si="10">-1*U4</f>
        <v>49.858486301934839</v>
      </c>
      <c r="X4" s="36">
        <f t="shared" ref="X4:X17" si="11">V4-W4</f>
        <v>71.061701717343482</v>
      </c>
      <c r="Y4" s="33">
        <f t="shared" ref="Y4:Y17" si="12">X4/(H4+G4)</f>
        <v>0.74526256881137942</v>
      </c>
      <c r="Z4">
        <f t="shared" ref="Z4:Z17" si="13">(I4+(2*J4)+(3*K4)+(4*L4))/(SUM(I4:L4))</f>
        <v>2.2016224646611051</v>
      </c>
    </row>
    <row r="5" spans="1:26" x14ac:dyDescent="0.2">
      <c r="A5" s="3" t="s">
        <v>52</v>
      </c>
      <c r="B5" s="2" t="s">
        <v>14</v>
      </c>
      <c r="C5" s="1">
        <v>168</v>
      </c>
      <c r="D5" s="1" t="s">
        <v>8</v>
      </c>
      <c r="E5" s="1">
        <v>0.755</v>
      </c>
      <c r="F5" s="21">
        <v>72.670770400000009</v>
      </c>
      <c r="G5" s="22">
        <v>14.0225334442</v>
      </c>
      <c r="H5" s="23">
        <v>82.305364839999996</v>
      </c>
      <c r="I5" s="24">
        <v>18.950502350000001</v>
      </c>
      <c r="J5" s="4">
        <v>3.29196837172822</v>
      </c>
      <c r="K5" s="4">
        <v>7.0716921831097803</v>
      </c>
      <c r="L5" s="25">
        <v>9.8509386844025411</v>
      </c>
      <c r="M5" s="4">
        <f t="shared" si="0"/>
        <v>18.950502350000001</v>
      </c>
      <c r="N5" s="1">
        <f t="shared" si="1"/>
        <v>-3.2919683717282195</v>
      </c>
      <c r="O5" s="1">
        <f t="shared" si="2"/>
        <v>-21.215076549329339</v>
      </c>
      <c r="P5">
        <f t="shared" si="3"/>
        <v>-49.2546934220127</v>
      </c>
      <c r="Q5" s="24">
        <f t="shared" si="4"/>
        <v>18.950502350000001</v>
      </c>
      <c r="R5" s="33">
        <f t="shared" si="5"/>
        <v>9.8759051151846595</v>
      </c>
      <c r="S5" s="33">
        <f t="shared" si="6"/>
        <v>35.358460915548903</v>
      </c>
      <c r="T5" s="33">
        <f t="shared" si="7"/>
        <v>68.956570790817779</v>
      </c>
      <c r="U5" s="34">
        <f t="shared" si="8"/>
        <v>-54.811235993070255</v>
      </c>
      <c r="V5" s="26">
        <f t="shared" si="9"/>
        <v>133.14143917155133</v>
      </c>
      <c r="W5" s="34">
        <f t="shared" si="10"/>
        <v>54.811235993070255</v>
      </c>
      <c r="X5" s="36">
        <f t="shared" si="11"/>
        <v>78.330203178481071</v>
      </c>
      <c r="Y5" s="33">
        <f t="shared" si="12"/>
        <v>0.81316217392577583</v>
      </c>
      <c r="Z5">
        <f t="shared" si="13"/>
        <v>2.1997458677360875</v>
      </c>
    </row>
    <row r="6" spans="1:26" x14ac:dyDescent="0.2">
      <c r="A6" s="3" t="s">
        <v>52</v>
      </c>
      <c r="B6" s="2" t="s">
        <v>14</v>
      </c>
      <c r="C6" s="1">
        <v>168</v>
      </c>
      <c r="D6" s="1" t="s">
        <v>9</v>
      </c>
      <c r="E6" s="1">
        <v>0.75800000000000001</v>
      </c>
      <c r="F6" s="21">
        <v>71.429713599999999</v>
      </c>
      <c r="G6" s="22">
        <v>13.916932877200001</v>
      </c>
      <c r="H6" s="23">
        <v>82.417307889999989</v>
      </c>
      <c r="I6" s="24">
        <v>18.64407834</v>
      </c>
      <c r="J6" s="4">
        <v>3.1511057545398202</v>
      </c>
      <c r="K6" s="4">
        <v>6.8226078449749608</v>
      </c>
      <c r="L6" s="25">
        <v>9.4319738937665605</v>
      </c>
      <c r="M6" s="4">
        <f t="shared" si="0"/>
        <v>18.64407834</v>
      </c>
      <c r="N6" s="1">
        <f t="shared" si="1"/>
        <v>-3.1511057545398202</v>
      </c>
      <c r="O6" s="1">
        <f t="shared" si="2"/>
        <v>-20.467823534924882</v>
      </c>
      <c r="P6">
        <f t="shared" si="3"/>
        <v>-47.159869468832795</v>
      </c>
      <c r="Q6" s="24">
        <f t="shared" si="4"/>
        <v>18.64407834</v>
      </c>
      <c r="R6" s="33">
        <f t="shared" si="5"/>
        <v>9.4533172636194607</v>
      </c>
      <c r="S6" s="33">
        <f t="shared" si="6"/>
        <v>34.113039224874804</v>
      </c>
      <c r="T6" s="33">
        <f t="shared" si="7"/>
        <v>66.02381725636593</v>
      </c>
      <c r="U6" s="34">
        <f t="shared" si="8"/>
        <v>-52.134720418297498</v>
      </c>
      <c r="V6" s="26">
        <f t="shared" si="9"/>
        <v>128.2342520848602</v>
      </c>
      <c r="W6" s="34">
        <f t="shared" si="10"/>
        <v>52.134720418297498</v>
      </c>
      <c r="X6" s="36">
        <f t="shared" si="11"/>
        <v>76.099531666562712</v>
      </c>
      <c r="Y6" s="33">
        <f t="shared" si="12"/>
        <v>0.78995309518724299</v>
      </c>
      <c r="Z6">
        <f t="shared" si="13"/>
        <v>2.1850859562018163</v>
      </c>
    </row>
    <row r="7" spans="1:26" x14ac:dyDescent="0.2">
      <c r="A7" s="3" t="s">
        <v>52</v>
      </c>
      <c r="B7" s="2" t="s">
        <v>13</v>
      </c>
      <c r="C7" s="1">
        <v>168</v>
      </c>
      <c r="D7" s="1" t="s">
        <v>6</v>
      </c>
      <c r="E7" s="1">
        <v>0.223</v>
      </c>
      <c r="F7" s="21">
        <v>14.478995999999997</v>
      </c>
      <c r="G7" s="22">
        <v>11.022541632799999</v>
      </c>
      <c r="H7" s="23">
        <v>30.343348660000004</v>
      </c>
      <c r="I7" s="24">
        <v>5.8782968799999997</v>
      </c>
      <c r="J7" s="4">
        <v>0.35270452591944895</v>
      </c>
      <c r="K7" s="4">
        <v>2.7963322417205898</v>
      </c>
      <c r="L7" s="25">
        <v>5.3351510904994903</v>
      </c>
      <c r="M7" s="4">
        <f t="shared" si="0"/>
        <v>5.8782968799999997</v>
      </c>
      <c r="N7" s="1">
        <f t="shared" si="1"/>
        <v>-0.3527045259194489</v>
      </c>
      <c r="O7" s="1">
        <f t="shared" si="2"/>
        <v>-8.3889967251617694</v>
      </c>
      <c r="P7">
        <f t="shared" si="3"/>
        <v>-26.675755452497455</v>
      </c>
      <c r="Q7" s="24">
        <f t="shared" si="4"/>
        <v>5.8782968799999997</v>
      </c>
      <c r="R7" s="33">
        <f t="shared" si="5"/>
        <v>1.0581135777583468</v>
      </c>
      <c r="S7" s="33">
        <f t="shared" si="6"/>
        <v>13.981661208602949</v>
      </c>
      <c r="T7" s="33">
        <f t="shared" si="7"/>
        <v>37.346057633496429</v>
      </c>
      <c r="U7" s="34">
        <f t="shared" si="8"/>
        <v>-29.539159823578672</v>
      </c>
      <c r="V7" s="26">
        <f t="shared" si="9"/>
        <v>58.264129299857728</v>
      </c>
      <c r="W7" s="34">
        <f t="shared" si="10"/>
        <v>29.539159823578672</v>
      </c>
      <c r="X7" s="36">
        <f t="shared" si="11"/>
        <v>28.724969476279057</v>
      </c>
      <c r="Y7" s="33">
        <f t="shared" si="12"/>
        <v>0.69441197259276255</v>
      </c>
      <c r="Z7">
        <f t="shared" si="13"/>
        <v>2.5283443416005009</v>
      </c>
    </row>
    <row r="8" spans="1:26" x14ac:dyDescent="0.2">
      <c r="A8" s="3" t="s">
        <v>52</v>
      </c>
      <c r="B8" s="2" t="s">
        <v>13</v>
      </c>
      <c r="C8" s="1">
        <v>168</v>
      </c>
      <c r="D8" s="1" t="s">
        <v>8</v>
      </c>
      <c r="E8" s="1">
        <v>0.253</v>
      </c>
      <c r="F8" s="21">
        <v>18.202166400000003</v>
      </c>
      <c r="G8" s="22">
        <v>11.141362739199998</v>
      </c>
      <c r="H8" s="23">
        <v>31.98538404</v>
      </c>
      <c r="I8" s="24">
        <v>6.5772214719999997</v>
      </c>
      <c r="J8" s="4">
        <v>0.35316057329971501</v>
      </c>
      <c r="K8" s="4">
        <v>2.5664295456611503</v>
      </c>
      <c r="L8" s="25">
        <v>5.6283781678327802</v>
      </c>
      <c r="M8" s="4">
        <f t="shared" si="0"/>
        <v>6.5772214719999997</v>
      </c>
      <c r="N8" s="1">
        <f t="shared" si="1"/>
        <v>-0.35316057329971506</v>
      </c>
      <c r="O8" s="1">
        <f t="shared" si="2"/>
        <v>-7.699288636983451</v>
      </c>
      <c r="P8">
        <f t="shared" si="3"/>
        <v>-28.141890839163899</v>
      </c>
      <c r="Q8" s="24">
        <f t="shared" si="4"/>
        <v>6.5772214719999997</v>
      </c>
      <c r="R8" s="33">
        <f t="shared" si="5"/>
        <v>1.0594817198991451</v>
      </c>
      <c r="S8" s="33">
        <f t="shared" si="6"/>
        <v>12.832147728305753</v>
      </c>
      <c r="T8" s="33">
        <f t="shared" si="7"/>
        <v>39.398647174829463</v>
      </c>
      <c r="U8" s="34">
        <f t="shared" si="8"/>
        <v>-29.617118577447066</v>
      </c>
      <c r="V8" s="26">
        <f t="shared" si="9"/>
        <v>59.867498095034364</v>
      </c>
      <c r="W8" s="34">
        <f t="shared" si="10"/>
        <v>29.617118577447066</v>
      </c>
      <c r="X8" s="36">
        <f t="shared" si="11"/>
        <v>30.250379517587298</v>
      </c>
      <c r="Y8" s="33">
        <f t="shared" si="12"/>
        <v>0.70142966434410114</v>
      </c>
      <c r="Z8">
        <f t="shared" si="13"/>
        <v>2.4790660166834582</v>
      </c>
    </row>
    <row r="9" spans="1:26" x14ac:dyDescent="0.2">
      <c r="A9" s="3" t="s">
        <v>52</v>
      </c>
      <c r="B9" s="2" t="s">
        <v>13</v>
      </c>
      <c r="C9" s="1">
        <v>168</v>
      </c>
      <c r="D9" s="1" t="s">
        <v>9</v>
      </c>
      <c r="E9" s="1">
        <v>0.246</v>
      </c>
      <c r="F9" s="21">
        <v>18.615852000000007</v>
      </c>
      <c r="G9" s="22">
        <v>10.192010036599999</v>
      </c>
      <c r="H9" s="23">
        <v>33.721213140000003</v>
      </c>
      <c r="I9" s="24">
        <v>5.9719034339999997</v>
      </c>
      <c r="J9" s="4">
        <v>0.35531852340912301</v>
      </c>
      <c r="K9" s="4">
        <v>2.8451312641414099</v>
      </c>
      <c r="L9" s="25">
        <v>5.64756802744074</v>
      </c>
      <c r="M9" s="4">
        <f t="shared" si="0"/>
        <v>5.9719034339999997</v>
      </c>
      <c r="N9" s="1">
        <f t="shared" si="1"/>
        <v>-0.35531852340912307</v>
      </c>
      <c r="O9" s="1">
        <f t="shared" si="2"/>
        <v>-8.5353937924242302</v>
      </c>
      <c r="P9">
        <f t="shared" si="3"/>
        <v>-28.237840137203701</v>
      </c>
      <c r="Q9" s="24">
        <f t="shared" si="4"/>
        <v>5.9719034339999997</v>
      </c>
      <c r="R9" s="33">
        <f t="shared" si="5"/>
        <v>1.0659555702273691</v>
      </c>
      <c r="S9" s="33">
        <f t="shared" si="6"/>
        <v>14.225656320707049</v>
      </c>
      <c r="T9" s="33">
        <f t="shared" si="7"/>
        <v>39.532976192085179</v>
      </c>
      <c r="U9" s="34">
        <f t="shared" si="8"/>
        <v>-31.156649019037054</v>
      </c>
      <c r="V9" s="26">
        <f t="shared" si="9"/>
        <v>60.796491517019597</v>
      </c>
      <c r="W9" s="34">
        <f t="shared" si="10"/>
        <v>31.156649019037054</v>
      </c>
      <c r="X9" s="36">
        <f t="shared" si="11"/>
        <v>29.639842497982542</v>
      </c>
      <c r="Y9" s="33">
        <f t="shared" si="12"/>
        <v>0.67496394830285877</v>
      </c>
      <c r="Z9">
        <f t="shared" si="13"/>
        <v>2.5511745810106032</v>
      </c>
    </row>
    <row r="10" spans="1:26" x14ac:dyDescent="0.2">
      <c r="A10" s="3" t="s">
        <v>53</v>
      </c>
      <c r="B10" s="2" t="s">
        <v>14</v>
      </c>
      <c r="C10" s="1">
        <v>168</v>
      </c>
      <c r="D10" s="1" t="s">
        <v>6</v>
      </c>
      <c r="E10" s="1">
        <v>0.51200000000000001</v>
      </c>
      <c r="F10" s="21">
        <v>32.129581600000002</v>
      </c>
      <c r="G10" s="27">
        <v>10.5397973686</v>
      </c>
      <c r="H10" s="23">
        <v>33.929000000000002</v>
      </c>
      <c r="I10" s="24">
        <v>7.1059999999999999</v>
      </c>
      <c r="J10" s="4">
        <v>1.7051119316473899</v>
      </c>
      <c r="K10" s="4">
        <v>9.9297685681688996</v>
      </c>
      <c r="L10" s="28">
        <v>0</v>
      </c>
      <c r="M10" s="4">
        <f t="shared" si="0"/>
        <v>7.1059999999999999</v>
      </c>
      <c r="N10" s="1">
        <f t="shared" si="1"/>
        <v>-1.7051119316473899</v>
      </c>
      <c r="O10" s="1">
        <f t="shared" si="2"/>
        <v>-29.789305704506699</v>
      </c>
      <c r="P10">
        <f t="shared" si="3"/>
        <v>0</v>
      </c>
      <c r="Q10" s="24">
        <f t="shared" si="4"/>
        <v>7.1059999999999999</v>
      </c>
      <c r="R10" s="33">
        <f t="shared" si="5"/>
        <v>5.1153357949421698</v>
      </c>
      <c r="S10" s="33">
        <f t="shared" si="6"/>
        <v>49.648842840844495</v>
      </c>
      <c r="T10" s="33">
        <f t="shared" si="7"/>
        <v>0</v>
      </c>
      <c r="U10" s="34">
        <f t="shared" si="8"/>
        <v>-24.388417636154088</v>
      </c>
      <c r="V10" s="26">
        <f t="shared" si="9"/>
        <v>61.870178635786665</v>
      </c>
      <c r="W10" s="34">
        <f t="shared" si="10"/>
        <v>24.388417636154088</v>
      </c>
      <c r="X10" s="36">
        <f t="shared" si="11"/>
        <v>37.481760999632577</v>
      </c>
      <c r="Y10" s="33">
        <f t="shared" si="12"/>
        <v>0.84287777537467068</v>
      </c>
      <c r="Z10">
        <f t="shared" si="13"/>
        <v>2.1506742742528338</v>
      </c>
    </row>
    <row r="11" spans="1:26" x14ac:dyDescent="0.2">
      <c r="A11" s="3" t="s">
        <v>53</v>
      </c>
      <c r="B11" s="2" t="s">
        <v>14</v>
      </c>
      <c r="C11" s="1">
        <v>168</v>
      </c>
      <c r="D11" s="1" t="s">
        <v>7</v>
      </c>
      <c r="E11" s="1">
        <v>0.55400000000000005</v>
      </c>
      <c r="F11" s="21">
        <v>30.888524800000003</v>
      </c>
      <c r="G11" s="27">
        <v>11.197039915000003</v>
      </c>
      <c r="H11" s="23">
        <v>38.685000000000002</v>
      </c>
      <c r="I11" s="24">
        <v>6.6050000000000004</v>
      </c>
      <c r="J11" s="4">
        <v>1.8062340623474902</v>
      </c>
      <c r="K11" s="4">
        <v>10.635873674441001</v>
      </c>
      <c r="L11" s="28">
        <v>0</v>
      </c>
      <c r="M11" s="4">
        <f t="shared" si="0"/>
        <v>6.6050000000000004</v>
      </c>
      <c r="N11" s="1">
        <f t="shared" si="1"/>
        <v>-1.8062340623474897</v>
      </c>
      <c r="O11" s="1">
        <f t="shared" si="2"/>
        <v>-31.907621023323003</v>
      </c>
      <c r="P11">
        <f t="shared" si="3"/>
        <v>0</v>
      </c>
      <c r="Q11" s="24">
        <f t="shared" si="4"/>
        <v>6.6050000000000004</v>
      </c>
      <c r="R11" s="33">
        <f t="shared" si="5"/>
        <v>5.4187021870424701</v>
      </c>
      <c r="S11" s="33">
        <f t="shared" si="6"/>
        <v>53.179368372205005</v>
      </c>
      <c r="T11" s="33">
        <f t="shared" si="7"/>
        <v>0</v>
      </c>
      <c r="U11" s="34">
        <f t="shared" si="8"/>
        <v>-27.108855085670491</v>
      </c>
      <c r="V11" s="26">
        <f t="shared" si="9"/>
        <v>65.203070559247479</v>
      </c>
      <c r="W11" s="34">
        <f t="shared" si="10"/>
        <v>27.108855085670491</v>
      </c>
      <c r="X11" s="36">
        <f t="shared" si="11"/>
        <v>38.094215473576988</v>
      </c>
      <c r="Y11" s="33">
        <f t="shared" si="12"/>
        <v>0.76368599877812315</v>
      </c>
      <c r="Z11">
        <f t="shared" si="13"/>
        <v>2.2116265487728399</v>
      </c>
    </row>
    <row r="12" spans="1:26" x14ac:dyDescent="0.2">
      <c r="A12" s="3" t="s">
        <v>53</v>
      </c>
      <c r="B12" s="2" t="s">
        <v>14</v>
      </c>
      <c r="C12" s="1">
        <v>168</v>
      </c>
      <c r="D12" s="1" t="s">
        <v>8</v>
      </c>
      <c r="E12" s="1">
        <v>0.56000000000000005</v>
      </c>
      <c r="F12" s="21">
        <v>31.440105600000003</v>
      </c>
      <c r="G12" s="27">
        <v>11.253069249400001</v>
      </c>
      <c r="H12" s="23">
        <v>40.037999999999997</v>
      </c>
      <c r="I12" s="24">
        <v>6.4989999999999997</v>
      </c>
      <c r="J12" s="4">
        <v>1.7526148127982399</v>
      </c>
      <c r="K12" s="4">
        <v>10.947170776591799</v>
      </c>
      <c r="L12" s="28">
        <v>0</v>
      </c>
      <c r="M12" s="4">
        <f t="shared" si="0"/>
        <v>6.4989999999999997</v>
      </c>
      <c r="N12" s="1">
        <f t="shared" si="1"/>
        <v>-1.7526148127982402</v>
      </c>
      <c r="O12" s="1">
        <f t="shared" si="2"/>
        <v>-32.841512329775398</v>
      </c>
      <c r="P12">
        <f t="shared" si="3"/>
        <v>0</v>
      </c>
      <c r="Q12" s="24">
        <f t="shared" si="4"/>
        <v>6.4989999999999997</v>
      </c>
      <c r="R12" s="33">
        <f t="shared" si="5"/>
        <v>5.25784443839472</v>
      </c>
      <c r="S12" s="33">
        <f t="shared" si="6"/>
        <v>54.735853882958992</v>
      </c>
      <c r="T12" s="33">
        <f t="shared" si="7"/>
        <v>0</v>
      </c>
      <c r="U12" s="34">
        <f t="shared" si="8"/>
        <v>-28.095127142573638</v>
      </c>
      <c r="V12" s="26">
        <f t="shared" si="9"/>
        <v>66.492698321353714</v>
      </c>
      <c r="W12" s="34">
        <f t="shared" si="10"/>
        <v>28.095127142573638</v>
      </c>
      <c r="X12" s="36">
        <f t="shared" si="11"/>
        <v>38.397571178780076</v>
      </c>
      <c r="Y12" s="33">
        <f t="shared" si="12"/>
        <v>0.74862099271266902</v>
      </c>
      <c r="Z12">
        <f t="shared" si="13"/>
        <v>2.2316902158150058</v>
      </c>
    </row>
    <row r="13" spans="1:26" x14ac:dyDescent="0.2">
      <c r="A13" s="3" t="s">
        <v>53</v>
      </c>
      <c r="B13" s="2" t="s">
        <v>14</v>
      </c>
      <c r="C13" s="1">
        <v>168</v>
      </c>
      <c r="D13" s="1" t="s">
        <v>9</v>
      </c>
      <c r="E13" s="1">
        <v>0.52400000000000002</v>
      </c>
      <c r="F13" s="21">
        <v>31.715895999999997</v>
      </c>
      <c r="G13" s="27">
        <v>9.3677459374000005</v>
      </c>
      <c r="H13" s="23">
        <v>48.677999999999997</v>
      </c>
      <c r="I13" s="24">
        <v>5.5540000000000003</v>
      </c>
      <c r="J13" s="4">
        <v>1.8121914181439001</v>
      </c>
      <c r="K13" s="4">
        <v>10.4470974693191</v>
      </c>
      <c r="L13" s="28">
        <v>0</v>
      </c>
      <c r="M13" s="4">
        <f t="shared" si="0"/>
        <v>5.5540000000000003</v>
      </c>
      <c r="N13" s="1">
        <f t="shared" si="1"/>
        <v>-1.8121914181438998</v>
      </c>
      <c r="O13" s="1">
        <f t="shared" si="2"/>
        <v>-31.341292407957301</v>
      </c>
      <c r="P13">
        <f t="shared" si="3"/>
        <v>0</v>
      </c>
      <c r="Q13" s="24">
        <f t="shared" si="4"/>
        <v>5.5540000000000003</v>
      </c>
      <c r="R13" s="33">
        <f t="shared" si="5"/>
        <v>5.4365742544316999</v>
      </c>
      <c r="S13" s="33">
        <f t="shared" si="6"/>
        <v>52.235487346595505</v>
      </c>
      <c r="T13" s="33">
        <f t="shared" si="7"/>
        <v>0</v>
      </c>
      <c r="U13" s="34">
        <f t="shared" si="8"/>
        <v>-27.599483826101199</v>
      </c>
      <c r="V13" s="26">
        <f t="shared" si="9"/>
        <v>63.226061601027205</v>
      </c>
      <c r="W13" s="34">
        <f t="shared" si="10"/>
        <v>27.599483826101199</v>
      </c>
      <c r="X13" s="36">
        <f t="shared" si="11"/>
        <v>35.626577774926005</v>
      </c>
      <c r="Y13" s="33">
        <f t="shared" si="12"/>
        <v>0.61376724856543041</v>
      </c>
      <c r="Z13">
        <f t="shared" si="13"/>
        <v>2.2746880433047294</v>
      </c>
    </row>
    <row r="14" spans="1:26" x14ac:dyDescent="0.2">
      <c r="A14" s="3" t="s">
        <v>53</v>
      </c>
      <c r="B14" s="2" t="s">
        <v>13</v>
      </c>
      <c r="C14" s="1">
        <v>192</v>
      </c>
      <c r="D14" s="1" t="s">
        <v>6</v>
      </c>
      <c r="E14" s="1">
        <v>0.36399999999999999</v>
      </c>
      <c r="F14" s="21">
        <v>10.480035200000046</v>
      </c>
      <c r="G14" s="22">
        <v>9.7708820214000003</v>
      </c>
      <c r="H14" s="23">
        <v>13.709999999999994</v>
      </c>
      <c r="I14" s="24">
        <v>1.2450000000000001</v>
      </c>
      <c r="J14" s="1">
        <v>0</v>
      </c>
      <c r="K14" s="4">
        <v>4.6791503777630403</v>
      </c>
      <c r="L14" s="28">
        <v>0</v>
      </c>
      <c r="M14" s="4">
        <f t="shared" si="0"/>
        <v>1.2450000000000001</v>
      </c>
      <c r="N14" s="1">
        <f t="shared" si="1"/>
        <v>0</v>
      </c>
      <c r="O14" s="1">
        <f t="shared" si="2"/>
        <v>-14.037451133289121</v>
      </c>
      <c r="P14">
        <f t="shared" si="3"/>
        <v>0</v>
      </c>
      <c r="Q14" s="24">
        <f t="shared" si="4"/>
        <v>1.2450000000000001</v>
      </c>
      <c r="R14" s="33">
        <f t="shared" si="5"/>
        <v>0</v>
      </c>
      <c r="S14" s="33">
        <f t="shared" si="6"/>
        <v>23.395751888815202</v>
      </c>
      <c r="T14" s="33">
        <f t="shared" si="7"/>
        <v>0</v>
      </c>
      <c r="U14" s="34">
        <f t="shared" si="8"/>
        <v>-12.79245113328912</v>
      </c>
      <c r="V14" s="26">
        <f t="shared" si="9"/>
        <v>24.640751888815203</v>
      </c>
      <c r="W14" s="34">
        <f t="shared" si="10"/>
        <v>12.79245113328912</v>
      </c>
      <c r="X14" s="36">
        <f t="shared" si="11"/>
        <v>11.848300755526083</v>
      </c>
      <c r="Y14" s="33">
        <f t="shared" si="12"/>
        <v>0.50459351334109959</v>
      </c>
      <c r="Z14">
        <f t="shared" si="13"/>
        <v>2.5796865641111184</v>
      </c>
    </row>
    <row r="15" spans="1:26" x14ac:dyDescent="0.2">
      <c r="A15" s="3" t="s">
        <v>53</v>
      </c>
      <c r="B15" s="2" t="s">
        <v>13</v>
      </c>
      <c r="C15" s="1">
        <v>192</v>
      </c>
      <c r="D15" s="1" t="s">
        <v>7</v>
      </c>
      <c r="E15" s="1">
        <v>0.39200000000000002</v>
      </c>
      <c r="F15" s="21">
        <v>11.307406400000003</v>
      </c>
      <c r="G15" s="22">
        <v>6.5831489974000004</v>
      </c>
      <c r="H15" s="23">
        <v>17.079999999999998</v>
      </c>
      <c r="I15" s="24">
        <v>2.2170000000000001</v>
      </c>
      <c r="J15" s="1">
        <v>0</v>
      </c>
      <c r="K15" s="4">
        <v>5.9315564922103805</v>
      </c>
      <c r="L15" s="28">
        <v>0</v>
      </c>
      <c r="M15" s="4">
        <f t="shared" si="0"/>
        <v>2.2170000000000001</v>
      </c>
      <c r="N15" s="1">
        <f t="shared" si="1"/>
        <v>0</v>
      </c>
      <c r="O15" s="1">
        <f t="shared" si="2"/>
        <v>-17.794669476631142</v>
      </c>
      <c r="P15">
        <f t="shared" si="3"/>
        <v>0</v>
      </c>
      <c r="Q15" s="24">
        <f t="shared" si="4"/>
        <v>2.2170000000000001</v>
      </c>
      <c r="R15" s="33">
        <f t="shared" si="5"/>
        <v>0</v>
      </c>
      <c r="S15" s="33">
        <f t="shared" si="6"/>
        <v>29.657782461051902</v>
      </c>
      <c r="T15" s="33">
        <f t="shared" si="7"/>
        <v>0</v>
      </c>
      <c r="U15" s="34">
        <f t="shared" si="8"/>
        <v>-15.577669476631142</v>
      </c>
      <c r="V15" s="26">
        <f t="shared" si="9"/>
        <v>31.8747824610519</v>
      </c>
      <c r="W15" s="34">
        <f t="shared" si="10"/>
        <v>15.577669476631142</v>
      </c>
      <c r="X15" s="36">
        <f t="shared" si="11"/>
        <v>16.297112984420757</v>
      </c>
      <c r="Y15" s="33">
        <f t="shared" si="12"/>
        <v>0.68871277386671614</v>
      </c>
      <c r="Z15">
        <f t="shared" si="13"/>
        <v>2.4558545425513483</v>
      </c>
    </row>
    <row r="16" spans="1:26" x14ac:dyDescent="0.2">
      <c r="A16" s="3" t="s">
        <v>53</v>
      </c>
      <c r="B16" s="2" t="s">
        <v>13</v>
      </c>
      <c r="C16" s="1">
        <v>192</v>
      </c>
      <c r="D16" s="1" t="s">
        <v>8</v>
      </c>
      <c r="E16" s="1">
        <v>0.371</v>
      </c>
      <c r="F16" s="21">
        <v>10.617930400000006</v>
      </c>
      <c r="G16" s="22">
        <v>9.5177692845999999</v>
      </c>
      <c r="H16" s="23">
        <v>15.789000000000001</v>
      </c>
      <c r="I16" s="24">
        <v>2.3380000000000001</v>
      </c>
      <c r="J16" s="1">
        <v>0</v>
      </c>
      <c r="K16" s="4">
        <v>5.5400604519802403</v>
      </c>
      <c r="L16" s="28">
        <v>0</v>
      </c>
      <c r="M16" s="4">
        <f t="shared" si="0"/>
        <v>2.3380000000000001</v>
      </c>
      <c r="N16" s="1">
        <f t="shared" si="1"/>
        <v>0</v>
      </c>
      <c r="O16" s="1">
        <f t="shared" si="2"/>
        <v>-16.620181355940723</v>
      </c>
      <c r="P16">
        <f t="shared" si="3"/>
        <v>0</v>
      </c>
      <c r="Q16" s="24">
        <f t="shared" si="4"/>
        <v>2.3380000000000001</v>
      </c>
      <c r="R16" s="33">
        <f t="shared" si="5"/>
        <v>0</v>
      </c>
      <c r="S16" s="33">
        <f t="shared" si="6"/>
        <v>27.700302259901203</v>
      </c>
      <c r="T16" s="33">
        <f t="shared" si="7"/>
        <v>0</v>
      </c>
      <c r="U16" s="34">
        <f t="shared" si="8"/>
        <v>-14.282181355940722</v>
      </c>
      <c r="V16" s="36">
        <f t="shared" si="9"/>
        <v>30.038302259901204</v>
      </c>
      <c r="W16" s="34">
        <f t="shared" si="10"/>
        <v>14.282181355940722</v>
      </c>
      <c r="X16" s="36">
        <f t="shared" si="11"/>
        <v>15.756120903960483</v>
      </c>
      <c r="Y16" s="33">
        <f t="shared" si="12"/>
        <v>0.62260499263130353</v>
      </c>
      <c r="Z16">
        <f t="shared" si="13"/>
        <v>2.4064528917362353</v>
      </c>
    </row>
    <row r="17" spans="1:26" x14ac:dyDescent="0.2">
      <c r="A17" s="3" t="s">
        <v>53</v>
      </c>
      <c r="B17" s="2" t="s">
        <v>13</v>
      </c>
      <c r="C17" s="1">
        <v>192</v>
      </c>
      <c r="D17" s="1" t="s">
        <v>9</v>
      </c>
      <c r="E17" s="1">
        <v>0.36899999999999999</v>
      </c>
      <c r="F17" s="21">
        <v>12.27267279999997</v>
      </c>
      <c r="G17" s="22">
        <v>7.5155177014000003</v>
      </c>
      <c r="H17" s="23">
        <v>12.594999999999999</v>
      </c>
      <c r="I17" s="24">
        <v>2.3380000000000001</v>
      </c>
      <c r="J17" s="1">
        <v>0</v>
      </c>
      <c r="K17" s="4">
        <v>5.8280686162698299</v>
      </c>
      <c r="L17" s="28">
        <v>0</v>
      </c>
      <c r="M17" s="4">
        <f t="shared" si="0"/>
        <v>2.3380000000000001</v>
      </c>
      <c r="N17" s="1">
        <f t="shared" si="1"/>
        <v>0</v>
      </c>
      <c r="O17" s="1">
        <f t="shared" si="2"/>
        <v>-17.484205848809488</v>
      </c>
      <c r="P17">
        <f t="shared" si="3"/>
        <v>0</v>
      </c>
      <c r="Q17" s="24">
        <f t="shared" si="4"/>
        <v>2.3380000000000001</v>
      </c>
      <c r="R17" s="33">
        <f t="shared" si="5"/>
        <v>0</v>
      </c>
      <c r="S17" s="33">
        <f t="shared" si="6"/>
        <v>29.140343081349148</v>
      </c>
      <c r="T17" s="33">
        <f t="shared" si="7"/>
        <v>0</v>
      </c>
      <c r="U17" s="34">
        <f t="shared" si="8"/>
        <v>-15.146205848809487</v>
      </c>
      <c r="V17" s="36">
        <f t="shared" si="9"/>
        <v>31.478343081349148</v>
      </c>
      <c r="W17" s="34">
        <f t="shared" si="10"/>
        <v>15.146205848809487</v>
      </c>
      <c r="X17" s="36">
        <f t="shared" si="11"/>
        <v>16.332137232539662</v>
      </c>
      <c r="Y17" s="33">
        <f t="shared" si="12"/>
        <v>0.81211918435111674</v>
      </c>
      <c r="Z17">
        <f t="shared" si="13"/>
        <v>2.4273866385737102</v>
      </c>
    </row>
    <row r="18" spans="1:26" x14ac:dyDescent="0.2">
      <c r="L18" s="37" t="s">
        <v>70</v>
      </c>
      <c r="M18" t="s">
        <v>61</v>
      </c>
      <c r="N18" t="s">
        <v>55</v>
      </c>
      <c r="O18" t="s">
        <v>57</v>
      </c>
      <c r="P18" t="s">
        <v>59</v>
      </c>
      <c r="Q18" s="16" t="s">
        <v>61</v>
      </c>
      <c r="R18" t="s">
        <v>55</v>
      </c>
      <c r="S18" t="s">
        <v>57</v>
      </c>
      <c r="T18" t="s">
        <v>59</v>
      </c>
      <c r="U18" s="16"/>
      <c r="V18" s="38" t="s">
        <v>69</v>
      </c>
      <c r="W18" s="39" t="s">
        <v>74</v>
      </c>
    </row>
    <row r="19" spans="1:26" x14ac:dyDescent="0.2">
      <c r="L19" s="37"/>
      <c r="M19" t="s">
        <v>62</v>
      </c>
      <c r="N19" t="s">
        <v>56</v>
      </c>
      <c r="O19" t="s">
        <v>58</v>
      </c>
      <c r="P19" t="s">
        <v>60</v>
      </c>
      <c r="Q19" s="16" t="s">
        <v>62</v>
      </c>
      <c r="R19" t="s">
        <v>56</v>
      </c>
      <c r="S19" t="s">
        <v>58</v>
      </c>
      <c r="T19" t="s">
        <v>60</v>
      </c>
      <c r="U19" s="16"/>
      <c r="V19" s="33"/>
      <c r="W19" s="39" t="s">
        <v>80</v>
      </c>
    </row>
  </sheetData>
  <mergeCells count="8">
    <mergeCell ref="U1:V1"/>
    <mergeCell ref="L18:L19"/>
    <mergeCell ref="W1:Z1"/>
    <mergeCell ref="A1:F1"/>
    <mergeCell ref="G1:H1"/>
    <mergeCell ref="I1:L1"/>
    <mergeCell ref="M1:P1"/>
    <mergeCell ref="Q1:T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OCT_proline</vt:lpstr>
      <vt:lpstr>OCT_h2co2</vt:lpstr>
      <vt:lpstr>PYRU_h2co2</vt:lpstr>
      <vt:lpstr>electron_carrier_balance_h2ase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Blake Lindner</cp:lastModifiedBy>
  <cp:revision/>
  <dcterms:created xsi:type="dcterms:W3CDTF">2026-05-22T14:51:21Z</dcterms:created>
  <dcterms:modified xsi:type="dcterms:W3CDTF">2026-10-24T22:25:22Z</dcterms:modified>
  <cp:category/>
  <cp:contentStatus/>
</cp:coreProperties>
</file>