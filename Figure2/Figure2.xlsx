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blindner/Desktop/"/>
    </mc:Choice>
  </mc:AlternateContent>
  <xr:revisionPtr revIDLastSave="0" documentId="8_{5AC6F5CE-B0BE-8E47-A563-5F928ED3472A}" xr6:coauthVersionLast="47" xr6:coauthVersionMax="47" xr10:uidLastSave="{00000000-0000-0000-0000-000000000000}"/>
  <bookViews>
    <workbookView xWindow="9220" yWindow="500" windowWidth="16380" windowHeight="13620" xr2:uid="{00000000-000D-0000-FFFF-FFFF00000000}"/>
  </bookViews>
  <sheets>
    <sheet name="Semilong_replicates" sheetId="17" r:id="rId1"/>
    <sheet name="Semilong_averages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2" i="17" l="1"/>
  <c r="G3" i="17"/>
  <c r="G4" i="17"/>
  <c r="G5" i="17"/>
  <c r="G6" i="17"/>
  <c r="G7" i="17"/>
  <c r="G8" i="17"/>
  <c r="G9" i="17"/>
  <c r="G10" i="17"/>
  <c r="G12" i="17"/>
  <c r="G13" i="17"/>
  <c r="G14" i="17"/>
  <c r="G15" i="17"/>
  <c r="G16" i="17"/>
  <c r="G17" i="17"/>
  <c r="G18" i="17"/>
  <c r="G19" i="17"/>
  <c r="G20" i="17"/>
  <c r="G22" i="17"/>
  <c r="G23" i="17"/>
  <c r="G24" i="17"/>
  <c r="G25" i="17"/>
  <c r="G26" i="17"/>
  <c r="G27" i="17"/>
  <c r="G28" i="17"/>
  <c r="G29" i="17"/>
  <c r="G30" i="17"/>
  <c r="G32" i="17"/>
  <c r="G33" i="17"/>
  <c r="G34" i="17"/>
  <c r="G35" i="17"/>
  <c r="G36" i="17"/>
  <c r="G37" i="17"/>
  <c r="G38" i="17"/>
  <c r="G39" i="17"/>
  <c r="G40" i="17"/>
  <c r="G42" i="17"/>
  <c r="G43" i="17"/>
  <c r="G44" i="17"/>
  <c r="G45" i="17"/>
  <c r="G46" i="17"/>
  <c r="G47" i="17"/>
  <c r="G48" i="17"/>
  <c r="G49" i="17"/>
  <c r="G50" i="17"/>
  <c r="G52" i="17"/>
  <c r="G53" i="17"/>
  <c r="G54" i="17"/>
  <c r="G55" i="17"/>
  <c r="G56" i="17"/>
  <c r="G57" i="17"/>
  <c r="G58" i="17"/>
  <c r="G59" i="17"/>
  <c r="G60" i="17"/>
  <c r="G62" i="17"/>
  <c r="G63" i="17"/>
  <c r="G64" i="17"/>
  <c r="G65" i="17"/>
  <c r="G66" i="17"/>
  <c r="G67" i="17"/>
  <c r="G68" i="17"/>
  <c r="G69" i="17"/>
  <c r="G70" i="17"/>
  <c r="G72" i="17"/>
  <c r="G73" i="17"/>
  <c r="G74" i="17"/>
  <c r="G75" i="17"/>
  <c r="G76" i="17"/>
  <c r="G77" i="17"/>
  <c r="G78" i="17"/>
  <c r="G79" i="17"/>
  <c r="G80" i="17"/>
  <c r="G82" i="17"/>
  <c r="G83" i="17"/>
  <c r="G84" i="17"/>
  <c r="G85" i="17"/>
  <c r="G86" i="17"/>
  <c r="G87" i="17"/>
  <c r="G88" i="17"/>
  <c r="G89" i="17"/>
  <c r="G90" i="17"/>
  <c r="G92" i="17"/>
  <c r="G93" i="17"/>
  <c r="G94" i="17"/>
  <c r="G95" i="17"/>
  <c r="G96" i="17"/>
  <c r="G97" i="17"/>
  <c r="G98" i="17"/>
  <c r="G99" i="17"/>
  <c r="G100" i="17"/>
  <c r="G102" i="17"/>
  <c r="G103" i="17"/>
  <c r="G104" i="17"/>
  <c r="G105" i="17"/>
  <c r="G106" i="17"/>
  <c r="G107" i="17"/>
  <c r="G108" i="17"/>
  <c r="G109" i="17"/>
  <c r="G110" i="17"/>
  <c r="G112" i="17"/>
  <c r="G113" i="17"/>
  <c r="G114" i="17"/>
  <c r="G115" i="17"/>
  <c r="G116" i="17"/>
  <c r="G117" i="17"/>
  <c r="G118" i="17"/>
  <c r="G119" i="17"/>
  <c r="G120" i="17"/>
  <c r="G122" i="17"/>
  <c r="G123" i="17"/>
  <c r="G124" i="17"/>
  <c r="G125" i="17"/>
  <c r="G126" i="17"/>
  <c r="G127" i="17"/>
  <c r="G128" i="17"/>
  <c r="G129" i="17"/>
  <c r="G130" i="17"/>
  <c r="G132" i="17"/>
  <c r="G133" i="17"/>
  <c r="G134" i="17"/>
  <c r="G135" i="17"/>
  <c r="G136" i="17"/>
  <c r="G137" i="17"/>
  <c r="G138" i="17"/>
  <c r="G139" i="17"/>
  <c r="G140" i="17"/>
  <c r="G142" i="17"/>
  <c r="G143" i="17"/>
  <c r="G144" i="17"/>
  <c r="G145" i="17"/>
  <c r="G146" i="17"/>
  <c r="G147" i="17"/>
  <c r="G148" i="17"/>
  <c r="G149" i="17"/>
  <c r="G150" i="17"/>
  <c r="G153" i="17"/>
  <c r="G154" i="17"/>
  <c r="G155" i="17"/>
  <c r="G156" i="17"/>
  <c r="G157" i="17"/>
  <c r="G158" i="17"/>
  <c r="G159" i="17"/>
  <c r="G160" i="17"/>
  <c r="G162" i="17"/>
  <c r="G163" i="17"/>
  <c r="G164" i="17"/>
  <c r="G165" i="17"/>
  <c r="G166" i="17"/>
  <c r="G167" i="17"/>
  <c r="G168" i="17"/>
  <c r="G169" i="17"/>
  <c r="G170" i="17"/>
  <c r="G172" i="17"/>
  <c r="G173" i="17"/>
  <c r="G174" i="17"/>
  <c r="G175" i="17"/>
  <c r="G176" i="17"/>
  <c r="G178" i="17"/>
  <c r="G179" i="17"/>
  <c r="G180" i="17"/>
  <c r="G181" i="17"/>
  <c r="G182" i="17"/>
  <c r="G183" i="17"/>
  <c r="G184" i="17"/>
  <c r="G185" i="17"/>
  <c r="G186" i="17"/>
  <c r="G188" i="17"/>
  <c r="G189" i="17"/>
  <c r="G190" i="17"/>
  <c r="G191" i="17"/>
  <c r="G192" i="17"/>
  <c r="G193" i="17"/>
  <c r="G194" i="17"/>
  <c r="G195" i="17"/>
  <c r="G196" i="17"/>
  <c r="G198" i="17"/>
  <c r="G199" i="17"/>
  <c r="G200" i="17"/>
  <c r="G201" i="17"/>
  <c r="G202" i="17"/>
  <c r="G203" i="17"/>
  <c r="G204" i="17"/>
  <c r="G205" i="17"/>
  <c r="G206" i="17"/>
  <c r="G2" i="17"/>
  <c r="AA3" i="17"/>
  <c r="AA4" i="17"/>
  <c r="AA5" i="17"/>
  <c r="AA6" i="17"/>
  <c r="AA7" i="17"/>
  <c r="AA8" i="17"/>
  <c r="AA9" i="17"/>
  <c r="AA10" i="17"/>
  <c r="AA11" i="17"/>
  <c r="AA12" i="17"/>
  <c r="AA13" i="17"/>
  <c r="AA14" i="17"/>
  <c r="AA15" i="17"/>
  <c r="AA16" i="17"/>
  <c r="AA17" i="17"/>
  <c r="AA18" i="17"/>
  <c r="AA19" i="17"/>
  <c r="AA20" i="17"/>
  <c r="AA21" i="17"/>
  <c r="AA22" i="17"/>
  <c r="AA23" i="17"/>
  <c r="AA24" i="17"/>
  <c r="AA25" i="17"/>
  <c r="AA26" i="17"/>
  <c r="AA27" i="17"/>
  <c r="AA28" i="17"/>
  <c r="AA29" i="17"/>
  <c r="AA30" i="17"/>
  <c r="AA31" i="17"/>
  <c r="AA32" i="17"/>
  <c r="AA33" i="17"/>
  <c r="AA34" i="17"/>
  <c r="AA35" i="17"/>
  <c r="AA36" i="17"/>
  <c r="AA37" i="17"/>
  <c r="AA38" i="17"/>
  <c r="AA39" i="17"/>
  <c r="AA40" i="17"/>
  <c r="AA41" i="17"/>
  <c r="AA42" i="17"/>
  <c r="AA43" i="17"/>
  <c r="AA44" i="17"/>
  <c r="AA45" i="17"/>
  <c r="AA46" i="17"/>
  <c r="AA47" i="17"/>
  <c r="AA48" i="17"/>
  <c r="AA49" i="17"/>
  <c r="AA50" i="17"/>
  <c r="AA51" i="17"/>
  <c r="AA52" i="17"/>
  <c r="AA53" i="17"/>
  <c r="AA54" i="17"/>
  <c r="AA55" i="17"/>
  <c r="AA56" i="17"/>
  <c r="AA57" i="17"/>
  <c r="AA58" i="17"/>
  <c r="AA59" i="17"/>
  <c r="AA60" i="17"/>
  <c r="AA61" i="17"/>
  <c r="AA62" i="17"/>
  <c r="AA63" i="17"/>
  <c r="AA64" i="17"/>
  <c r="AA65" i="17"/>
  <c r="AA66" i="17"/>
  <c r="AA67" i="17"/>
  <c r="AA68" i="17"/>
  <c r="AA69" i="17"/>
  <c r="AA70" i="17"/>
  <c r="AA71" i="17"/>
  <c r="AA72" i="17"/>
  <c r="AA73" i="17"/>
  <c r="AA74" i="17"/>
  <c r="AA75" i="17"/>
  <c r="AA76" i="17"/>
  <c r="AA77" i="17"/>
  <c r="AA78" i="17"/>
  <c r="AA79" i="17"/>
  <c r="AA80" i="17"/>
  <c r="AA81" i="17"/>
  <c r="AA82" i="17"/>
  <c r="AA83" i="17"/>
  <c r="AA84" i="17"/>
  <c r="AA85" i="17"/>
  <c r="AA86" i="17"/>
  <c r="AA87" i="17"/>
  <c r="AA88" i="17"/>
  <c r="AA89" i="17"/>
  <c r="AA90" i="17"/>
  <c r="AA91" i="17"/>
  <c r="AA2" i="17"/>
</calcChain>
</file>

<file path=xl/sharedStrings.xml><?xml version="1.0" encoding="utf-8"?>
<sst xmlns="http://schemas.openxmlformats.org/spreadsheetml/2006/main" count="775" uniqueCount="72">
  <si>
    <t>PY</t>
  </si>
  <si>
    <t>Sample</t>
  </si>
  <si>
    <t>NaN</t>
  </si>
  <si>
    <t>LAC</t>
  </si>
  <si>
    <t>PRO</t>
  </si>
  <si>
    <t>LAC+PRO</t>
  </si>
  <si>
    <t>LAC+C2+C3</t>
  </si>
  <si>
    <t>LAC+C2</t>
  </si>
  <si>
    <t>LAC_avg_gL</t>
  </si>
  <si>
    <t>LAC_std_gL</t>
  </si>
  <si>
    <t>C2_avg_gL</t>
  </si>
  <si>
    <t>C2_std_gL</t>
  </si>
  <si>
    <t>C3_avg_gL</t>
  </si>
  <si>
    <t>C3_std_gL</t>
  </si>
  <si>
    <t>Hour</t>
  </si>
  <si>
    <t>NH4_std_mM</t>
  </si>
  <si>
    <t>NH4_avg_mM</t>
  </si>
  <si>
    <t>PSI_std_mM</t>
  </si>
  <si>
    <t>PSI_avg_mM</t>
  </si>
  <si>
    <t>OD600_std_mM</t>
  </si>
  <si>
    <t>OD600_avg_mM</t>
  </si>
  <si>
    <t>C4i_avg_gL</t>
  </si>
  <si>
    <t>C4i_std_gL</t>
  </si>
  <si>
    <t>C4n_avg_gL</t>
  </si>
  <si>
    <t>C5i_avg_gL</t>
  </si>
  <si>
    <t>C5i_std_gL</t>
  </si>
  <si>
    <t>C5n_avg_gL</t>
  </si>
  <si>
    <t>C5n_std_gL</t>
  </si>
  <si>
    <t>C6i_avg_gL</t>
  </si>
  <si>
    <t>C6i_std_gL</t>
  </si>
  <si>
    <t>C6n_avg_gL</t>
  </si>
  <si>
    <t>C6n_std_gL</t>
  </si>
  <si>
    <t>C7n_avg_gL</t>
  </si>
  <si>
    <t>C7n_std_gL</t>
  </si>
  <si>
    <t>C8n_avg_gL</t>
  </si>
  <si>
    <t>C8n_std_gL</t>
  </si>
  <si>
    <t>C4n_std_gL</t>
  </si>
  <si>
    <t>Media</t>
  </si>
  <si>
    <t>Time (h)</t>
  </si>
  <si>
    <t>Replicate</t>
  </si>
  <si>
    <t>OD600</t>
  </si>
  <si>
    <t>pH</t>
  </si>
  <si>
    <t>Lactate consumed (mM)</t>
  </si>
  <si>
    <t>mDSM104</t>
  </si>
  <si>
    <t>A</t>
  </si>
  <si>
    <t>B</t>
  </si>
  <si>
    <t>C</t>
  </si>
  <si>
    <t>LAC_PRO</t>
  </si>
  <si>
    <t>LAC_ACE</t>
  </si>
  <si>
    <t>LAC_ACE_C3</t>
  </si>
  <si>
    <t>EtOH_ACE</t>
  </si>
  <si>
    <t>Prod_AcCoA</t>
  </si>
  <si>
    <t>Code</t>
  </si>
  <si>
    <t>C2</t>
  </si>
  <si>
    <t>C3</t>
  </si>
  <si>
    <t>C4-i</t>
  </si>
  <si>
    <t>C4-n</t>
  </si>
  <si>
    <t>C5-i</t>
  </si>
  <si>
    <t>C5-n</t>
  </si>
  <si>
    <t>C6-i</t>
  </si>
  <si>
    <t>C6-n</t>
  </si>
  <si>
    <t>C7-n</t>
  </si>
  <si>
    <t>C8-n</t>
  </si>
  <si>
    <t>Lactate</t>
  </si>
  <si>
    <t>Ammonium</t>
  </si>
  <si>
    <t>5-Aminopentanoate</t>
  </si>
  <si>
    <t>Glutamate</t>
  </si>
  <si>
    <t>Ethanol</t>
  </si>
  <si>
    <t>Ammonium_change</t>
  </si>
  <si>
    <t>Amino_AcCoA</t>
  </si>
  <si>
    <t>PSI</t>
  </si>
  <si>
    <t>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</si>
</sst>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BC4C-3C32-514A-9E6B-FFAE187BAA74}">
  <dimension ref="A1:AA207"/>
  <sheetViews>
    <sheetView tabSelected="1" workbookViewId="0">
      <selection activeCell="G7" sqref="G7"/>
    </sheetView>
  </sheetViews>
  <sheetFormatPr baseColWidth="10" defaultRowHeight="15" x14ac:dyDescent="0.2"/>
  <sheetData>
    <row r="1" spans="1:27" s="10" customFormat="1" x14ac:dyDescent="0.2">
      <c r="A1" s="8" t="s">
        <v>37</v>
      </c>
      <c r="B1" s="8" t="s">
        <v>52</v>
      </c>
      <c r="C1" s="8" t="s">
        <v>38</v>
      </c>
      <c r="D1" s="8" t="s">
        <v>39</v>
      </c>
      <c r="E1" s="8" t="s">
        <v>40</v>
      </c>
      <c r="F1" s="9" t="s">
        <v>70</v>
      </c>
      <c r="G1" s="9" t="s">
        <v>71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  <c r="N1" s="8" t="s">
        <v>59</v>
      </c>
      <c r="O1" s="8" t="s">
        <v>60</v>
      </c>
      <c r="P1" s="8" t="s">
        <v>61</v>
      </c>
      <c r="Q1" s="8" t="s">
        <v>62</v>
      </c>
      <c r="R1" s="8" t="s">
        <v>63</v>
      </c>
      <c r="S1" s="9" t="s">
        <v>64</v>
      </c>
      <c r="T1" s="8" t="s">
        <v>65</v>
      </c>
      <c r="U1" s="8" t="s">
        <v>66</v>
      </c>
      <c r="V1" s="8" t="s">
        <v>67</v>
      </c>
      <c r="W1" s="8" t="s">
        <v>41</v>
      </c>
      <c r="X1" s="8" t="s">
        <v>42</v>
      </c>
      <c r="Y1" s="8" t="s">
        <v>68</v>
      </c>
      <c r="Z1" s="8" t="s">
        <v>51</v>
      </c>
      <c r="AA1" s="8" t="s">
        <v>69</v>
      </c>
    </row>
    <row r="2" spans="1:27" ht="16" x14ac:dyDescent="0.2">
      <c r="A2" s="3" t="s">
        <v>43</v>
      </c>
      <c r="B2" s="3" t="s">
        <v>0</v>
      </c>
      <c r="C2" s="3">
        <v>0</v>
      </c>
      <c r="D2" s="3" t="s">
        <v>44</v>
      </c>
      <c r="E2" s="3">
        <v>0.01</v>
      </c>
      <c r="F2" s="3">
        <v>0.54</v>
      </c>
      <c r="G2" s="3">
        <f>F2*6.89476</f>
        <v>3.7231704000000003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0.108</v>
      </c>
      <c r="N2" s="3">
        <v>0.03</v>
      </c>
      <c r="O2" s="3">
        <v>8.1000000000000003E-2</v>
      </c>
      <c r="P2" s="3">
        <v>0.153</v>
      </c>
      <c r="Q2" s="3">
        <v>0</v>
      </c>
      <c r="R2" s="3"/>
      <c r="S2" s="3">
        <v>3.101</v>
      </c>
      <c r="T2" s="3">
        <v>0</v>
      </c>
      <c r="U2" s="3">
        <v>0</v>
      </c>
      <c r="V2" s="3"/>
      <c r="W2" s="3">
        <v>6.38</v>
      </c>
      <c r="X2" s="3"/>
      <c r="Y2" s="3">
        <v>0</v>
      </c>
      <c r="Z2" s="4">
        <v>0.97799999999999998</v>
      </c>
      <c r="AA2" s="4">
        <f>(Y2)-(SUM(J2,L2,N2)+SUM(I2,M2))</f>
        <v>-0.13800000000000001</v>
      </c>
    </row>
    <row r="3" spans="1:27" ht="16" x14ac:dyDescent="0.2">
      <c r="A3" s="3" t="s">
        <v>43</v>
      </c>
      <c r="B3" s="3" t="s">
        <v>0</v>
      </c>
      <c r="C3" s="3">
        <v>21</v>
      </c>
      <c r="D3" s="3" t="s">
        <v>44</v>
      </c>
      <c r="E3" s="3">
        <v>4.3999999999999997E-2</v>
      </c>
      <c r="F3" s="3">
        <v>0.68</v>
      </c>
      <c r="G3" s="3">
        <f t="shared" ref="G3:G66" si="0">F3*6.89476</f>
        <v>4.6884367999999998</v>
      </c>
      <c r="H3" s="3">
        <v>1.3129999999999999</v>
      </c>
      <c r="I3" s="3">
        <v>0</v>
      </c>
      <c r="J3" s="3">
        <v>0</v>
      </c>
      <c r="K3" s="3">
        <v>0</v>
      </c>
      <c r="L3" s="3">
        <v>0</v>
      </c>
      <c r="M3" s="3">
        <v>5.5E-2</v>
      </c>
      <c r="N3" s="3">
        <v>0</v>
      </c>
      <c r="O3" s="3">
        <v>0.03</v>
      </c>
      <c r="P3" s="3">
        <v>3.5999999999999997E-2</v>
      </c>
      <c r="Q3" s="3">
        <v>0</v>
      </c>
      <c r="R3" s="3"/>
      <c r="S3" s="3">
        <v>4.72</v>
      </c>
      <c r="T3" s="2"/>
      <c r="U3" s="2"/>
      <c r="V3" s="3"/>
      <c r="W3" s="2"/>
      <c r="X3" s="2"/>
      <c r="Y3" s="3">
        <v>1.619</v>
      </c>
      <c r="Z3" s="4">
        <v>1.621</v>
      </c>
      <c r="AA3" s="4">
        <f t="shared" ref="AA3:AA66" si="1">(Y3)-(SUM(J3,L3,N3)+SUM(I3,M3))</f>
        <v>1.5640000000000001</v>
      </c>
    </row>
    <row r="4" spans="1:27" ht="16" x14ac:dyDescent="0.2">
      <c r="A4" s="3" t="s">
        <v>43</v>
      </c>
      <c r="B4" s="3" t="s">
        <v>0</v>
      </c>
      <c r="C4" s="3">
        <v>45</v>
      </c>
      <c r="D4" s="3" t="s">
        <v>44</v>
      </c>
      <c r="E4" s="3">
        <v>0.12</v>
      </c>
      <c r="F4" s="3">
        <v>0.24</v>
      </c>
      <c r="G4" s="3">
        <f t="shared" si="0"/>
        <v>1.6547423999999999</v>
      </c>
      <c r="H4" s="3">
        <v>1.966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/>
      <c r="S4" s="3">
        <v>9.593</v>
      </c>
      <c r="T4" s="2"/>
      <c r="U4" s="2"/>
      <c r="V4" s="3"/>
      <c r="W4" s="2"/>
      <c r="X4" s="2"/>
      <c r="Y4" s="3">
        <v>6.492</v>
      </c>
      <c r="Z4" s="4">
        <v>1.966</v>
      </c>
      <c r="AA4" s="4">
        <f t="shared" si="1"/>
        <v>6.492</v>
      </c>
    </row>
    <row r="5" spans="1:27" ht="16" x14ac:dyDescent="0.2">
      <c r="A5" s="3" t="s">
        <v>43</v>
      </c>
      <c r="B5" s="3" t="s">
        <v>0</v>
      </c>
      <c r="C5" s="3">
        <v>69</v>
      </c>
      <c r="D5" s="3" t="s">
        <v>44</v>
      </c>
      <c r="E5" s="3">
        <v>0.44</v>
      </c>
      <c r="F5" s="3">
        <v>0.88</v>
      </c>
      <c r="G5" s="3">
        <f t="shared" si="0"/>
        <v>6.0673887999999998</v>
      </c>
      <c r="H5" s="3">
        <v>2.7519999999999998</v>
      </c>
      <c r="I5" s="3">
        <v>0</v>
      </c>
      <c r="J5" s="3">
        <v>0.23799999999999999</v>
      </c>
      <c r="K5" s="3">
        <v>0</v>
      </c>
      <c r="L5" s="3">
        <v>0.36</v>
      </c>
      <c r="M5" s="3">
        <v>9.4E-2</v>
      </c>
      <c r="N5" s="3">
        <v>0</v>
      </c>
      <c r="O5" s="3">
        <v>0.56799999999999995</v>
      </c>
      <c r="P5" s="3">
        <v>0.42299999999999999</v>
      </c>
      <c r="Q5" s="3">
        <v>0</v>
      </c>
      <c r="R5" s="3"/>
      <c r="S5" s="3">
        <v>26.076000000000001</v>
      </c>
      <c r="T5" s="2"/>
      <c r="U5" s="2"/>
      <c r="V5" s="3"/>
      <c r="W5" s="2"/>
      <c r="X5" s="2"/>
      <c r="Y5" s="3">
        <v>22.975000000000001</v>
      </c>
      <c r="Z5" s="4">
        <v>6.5110000000000001</v>
      </c>
      <c r="AA5" s="4">
        <f t="shared" si="1"/>
        <v>22.283000000000001</v>
      </c>
    </row>
    <row r="6" spans="1:27" ht="16" x14ac:dyDescent="0.2">
      <c r="A6" s="3" t="s">
        <v>43</v>
      </c>
      <c r="B6" s="3" t="s">
        <v>0</v>
      </c>
      <c r="C6" s="3">
        <v>92</v>
      </c>
      <c r="D6" s="3" t="s">
        <v>44</v>
      </c>
      <c r="E6" s="3">
        <v>0.51</v>
      </c>
      <c r="F6" s="3">
        <v>0.84</v>
      </c>
      <c r="G6" s="3">
        <f t="shared" si="0"/>
        <v>5.7915983999999998</v>
      </c>
      <c r="H6" s="3">
        <v>2.39</v>
      </c>
      <c r="I6" s="3">
        <v>0</v>
      </c>
      <c r="J6" s="3">
        <v>0.50700000000000001</v>
      </c>
      <c r="K6" s="3">
        <v>0</v>
      </c>
      <c r="L6" s="3">
        <v>0.67</v>
      </c>
      <c r="M6" s="3">
        <v>9.4E-2</v>
      </c>
      <c r="N6" s="3">
        <v>0</v>
      </c>
      <c r="O6" s="3">
        <v>0.49099999999999999</v>
      </c>
      <c r="P6" s="3">
        <v>0.92100000000000004</v>
      </c>
      <c r="Q6" s="3">
        <v>0.36</v>
      </c>
      <c r="R6" s="3"/>
      <c r="S6" s="3">
        <v>32.773000000000003</v>
      </c>
      <c r="T6" s="2"/>
      <c r="U6" s="2"/>
      <c r="V6" s="3"/>
      <c r="W6" s="2"/>
      <c r="X6" s="2"/>
      <c r="Y6" s="3">
        <v>29.672000000000001</v>
      </c>
      <c r="Z6" s="4">
        <v>9.4309999999999992</v>
      </c>
      <c r="AA6" s="4">
        <f t="shared" si="1"/>
        <v>28.401</v>
      </c>
    </row>
    <row r="7" spans="1:27" ht="16" x14ac:dyDescent="0.2">
      <c r="A7" s="3" t="s">
        <v>43</v>
      </c>
      <c r="B7" s="3" t="s">
        <v>0</v>
      </c>
      <c r="C7" s="3">
        <v>117</v>
      </c>
      <c r="D7" s="3" t="s">
        <v>44</v>
      </c>
      <c r="E7" s="3">
        <v>0.49</v>
      </c>
      <c r="F7" s="3">
        <v>0.4</v>
      </c>
      <c r="G7" s="3">
        <f t="shared" si="0"/>
        <v>2.7579039999999999</v>
      </c>
      <c r="H7" s="3">
        <v>2.5569999999999999</v>
      </c>
      <c r="I7" s="3">
        <v>0</v>
      </c>
      <c r="J7" s="3">
        <v>0.96499999999999997</v>
      </c>
      <c r="K7" s="3">
        <v>0</v>
      </c>
      <c r="L7" s="3">
        <v>1.2829999999999999</v>
      </c>
      <c r="M7" s="3">
        <v>0.11700000000000001</v>
      </c>
      <c r="N7" s="3">
        <v>0</v>
      </c>
      <c r="O7" s="3">
        <v>0.61599999999999999</v>
      </c>
      <c r="P7" s="3">
        <v>1.51</v>
      </c>
      <c r="Q7" s="3">
        <v>1.206</v>
      </c>
      <c r="R7" s="3"/>
      <c r="S7" s="3">
        <v>43.774000000000001</v>
      </c>
      <c r="T7" s="3">
        <v>1.587</v>
      </c>
      <c r="U7" s="3">
        <v>0</v>
      </c>
      <c r="V7" s="3"/>
      <c r="W7" s="2"/>
      <c r="X7" s="2"/>
      <c r="Y7" s="3">
        <v>40.673000000000002</v>
      </c>
      <c r="Z7" s="4">
        <v>16.241</v>
      </c>
      <c r="AA7" s="4">
        <f t="shared" si="1"/>
        <v>38.308</v>
      </c>
    </row>
    <row r="8" spans="1:27" ht="16" x14ac:dyDescent="0.2">
      <c r="A8" s="3" t="s">
        <v>43</v>
      </c>
      <c r="B8" s="3" t="s">
        <v>0</v>
      </c>
      <c r="C8" s="3">
        <v>142</v>
      </c>
      <c r="D8" s="3" t="s">
        <v>44</v>
      </c>
      <c r="E8" s="3">
        <v>0.43</v>
      </c>
      <c r="F8" s="3">
        <v>0.38</v>
      </c>
      <c r="G8" s="3">
        <f t="shared" si="0"/>
        <v>2.6200087999999999</v>
      </c>
      <c r="H8" s="3">
        <v>6.4349999999999996</v>
      </c>
      <c r="I8" s="3">
        <v>0.437</v>
      </c>
      <c r="J8" s="3">
        <v>2.996</v>
      </c>
      <c r="K8" s="3">
        <v>0.61099999999999999</v>
      </c>
      <c r="L8" s="3">
        <v>3.375</v>
      </c>
      <c r="M8" s="3">
        <v>0.26800000000000002</v>
      </c>
      <c r="N8" s="3">
        <v>0.19400000000000001</v>
      </c>
      <c r="O8" s="3">
        <v>1.474</v>
      </c>
      <c r="P8" s="3">
        <v>2.802</v>
      </c>
      <c r="Q8" s="3">
        <v>3.161</v>
      </c>
      <c r="R8" s="3"/>
      <c r="S8" s="3">
        <v>41.518999999999998</v>
      </c>
      <c r="T8" s="2"/>
      <c r="U8" s="2"/>
      <c r="V8" s="3"/>
      <c r="W8" s="2"/>
      <c r="X8" s="2"/>
      <c r="Y8" s="3">
        <v>38.417999999999999</v>
      </c>
      <c r="Z8" s="4">
        <v>40.860999999999997</v>
      </c>
      <c r="AA8" s="4">
        <f t="shared" si="1"/>
        <v>31.148</v>
      </c>
    </row>
    <row r="9" spans="1:27" ht="16" x14ac:dyDescent="0.2">
      <c r="A9" s="3" t="s">
        <v>43</v>
      </c>
      <c r="B9" s="3" t="s">
        <v>0</v>
      </c>
      <c r="C9" s="3">
        <v>168</v>
      </c>
      <c r="D9" s="3" t="s">
        <v>44</v>
      </c>
      <c r="E9" s="3">
        <v>0.35</v>
      </c>
      <c r="F9" s="3">
        <v>0.26</v>
      </c>
      <c r="G9" s="3">
        <f t="shared" si="0"/>
        <v>1.7926375999999999</v>
      </c>
      <c r="H9" s="3">
        <v>4.6340000000000003</v>
      </c>
      <c r="I9" s="3">
        <v>0.20200000000000001</v>
      </c>
      <c r="J9" s="3">
        <v>2.472</v>
      </c>
      <c r="K9" s="3">
        <v>0.59799999999999998</v>
      </c>
      <c r="L9" s="3">
        <v>2.73</v>
      </c>
      <c r="M9" s="3">
        <v>0.222</v>
      </c>
      <c r="N9" s="3">
        <v>0.12</v>
      </c>
      <c r="O9" s="3">
        <v>1.1819999999999999</v>
      </c>
      <c r="P9" s="3">
        <v>2.5030000000000001</v>
      </c>
      <c r="Q9" s="3">
        <v>2.9590000000000001</v>
      </c>
      <c r="R9" s="3"/>
      <c r="S9" s="3">
        <v>42.15</v>
      </c>
      <c r="T9" s="2"/>
      <c r="U9" s="2"/>
      <c r="V9" s="3"/>
      <c r="W9" s="2"/>
      <c r="X9" s="2"/>
      <c r="Y9" s="3">
        <v>39.048999999999999</v>
      </c>
      <c r="Z9" s="4">
        <v>34.808999999999997</v>
      </c>
      <c r="AA9" s="4">
        <f t="shared" si="1"/>
        <v>33.302999999999997</v>
      </c>
    </row>
    <row r="10" spans="1:27" ht="16" x14ac:dyDescent="0.2">
      <c r="A10" s="3" t="s">
        <v>43</v>
      </c>
      <c r="B10" s="3" t="s">
        <v>0</v>
      </c>
      <c r="C10" s="3">
        <v>190</v>
      </c>
      <c r="D10" s="3" t="s">
        <v>44</v>
      </c>
      <c r="E10" s="3">
        <v>0.2</v>
      </c>
      <c r="F10" s="3">
        <v>0.14000000000000001</v>
      </c>
      <c r="G10" s="3">
        <f t="shared" si="0"/>
        <v>0.96526640000000008</v>
      </c>
      <c r="H10" s="3">
        <v>4.1950000000000003</v>
      </c>
      <c r="I10" s="3">
        <v>0.26500000000000001</v>
      </c>
      <c r="J10" s="3">
        <v>2.2389999999999999</v>
      </c>
      <c r="K10" s="3">
        <v>0.55400000000000005</v>
      </c>
      <c r="L10" s="3">
        <v>2.407</v>
      </c>
      <c r="M10" s="3">
        <v>0.184</v>
      </c>
      <c r="N10" s="3">
        <v>0.10100000000000001</v>
      </c>
      <c r="O10" s="3">
        <v>0.99099999999999999</v>
      </c>
      <c r="P10" s="3">
        <v>2.036</v>
      </c>
      <c r="Q10" s="3">
        <v>2.4260000000000002</v>
      </c>
      <c r="R10" s="3"/>
      <c r="S10" s="3">
        <v>43.494999999999997</v>
      </c>
      <c r="T10" s="3">
        <v>1.861</v>
      </c>
      <c r="U10" s="3">
        <v>0</v>
      </c>
      <c r="V10" s="3"/>
      <c r="W10" s="2"/>
      <c r="X10" s="2"/>
      <c r="Y10" s="3">
        <v>40.393999999999998</v>
      </c>
      <c r="Z10" s="4">
        <v>29.568999999999999</v>
      </c>
      <c r="AA10" s="4">
        <f t="shared" si="1"/>
        <v>35.198</v>
      </c>
    </row>
    <row r="11" spans="1:27" s="10" customFormat="1" ht="16" x14ac:dyDescent="0.2">
      <c r="A11" s="6" t="s">
        <v>43</v>
      </c>
      <c r="B11" s="6" t="s">
        <v>0</v>
      </c>
      <c r="C11" s="6">
        <v>240</v>
      </c>
      <c r="D11" s="6" t="s">
        <v>44</v>
      </c>
      <c r="E11" s="6">
        <v>9.1999999999999998E-2</v>
      </c>
      <c r="F11" s="7"/>
      <c r="G11" s="3"/>
      <c r="H11" s="6">
        <v>4.7439999999999998</v>
      </c>
      <c r="I11" s="6">
        <v>0.32400000000000001</v>
      </c>
      <c r="J11" s="6">
        <v>2.399</v>
      </c>
      <c r="K11" s="6">
        <v>0.57399999999999995</v>
      </c>
      <c r="L11" s="6">
        <v>2.5390000000000001</v>
      </c>
      <c r="M11" s="6">
        <v>0.19800000000000001</v>
      </c>
      <c r="N11" s="6">
        <v>0.121</v>
      </c>
      <c r="O11" s="6">
        <v>1.0409999999999999</v>
      </c>
      <c r="P11" s="6">
        <v>2.1749999999999998</v>
      </c>
      <c r="Q11" s="6">
        <v>2.5710000000000002</v>
      </c>
      <c r="R11" s="6"/>
      <c r="S11" s="6">
        <v>48.210999999999999</v>
      </c>
      <c r="T11" s="6">
        <v>2.1360000000000001</v>
      </c>
      <c r="U11" s="6">
        <v>0</v>
      </c>
      <c r="V11" s="6">
        <v>1.079</v>
      </c>
      <c r="W11" s="6">
        <v>6.82</v>
      </c>
      <c r="X11" s="6"/>
      <c r="Y11" s="6">
        <v>45.11</v>
      </c>
      <c r="Z11" s="11">
        <v>32.802999999999997</v>
      </c>
      <c r="AA11" s="11">
        <f t="shared" si="1"/>
        <v>39.528999999999996</v>
      </c>
    </row>
    <row r="12" spans="1:27" ht="16" x14ac:dyDescent="0.2">
      <c r="A12" s="3" t="s">
        <v>43</v>
      </c>
      <c r="B12" s="3" t="s">
        <v>0</v>
      </c>
      <c r="C12" s="3">
        <v>0</v>
      </c>
      <c r="D12" s="3" t="s">
        <v>45</v>
      </c>
      <c r="E12" s="3">
        <v>8.9999999999999993E-3</v>
      </c>
      <c r="F12" s="3">
        <v>0.54</v>
      </c>
      <c r="G12" s="3">
        <f t="shared" si="0"/>
        <v>3.7231704000000003</v>
      </c>
      <c r="H12" s="3">
        <v>0.70599999999999996</v>
      </c>
      <c r="I12" s="3">
        <v>0</v>
      </c>
      <c r="J12" s="3">
        <v>0</v>
      </c>
      <c r="K12" s="3">
        <v>0</v>
      </c>
      <c r="L12" s="3">
        <v>0</v>
      </c>
      <c r="M12" s="3">
        <v>8.4000000000000005E-2</v>
      </c>
      <c r="N12" s="3">
        <v>2.5999999999999999E-2</v>
      </c>
      <c r="O12" s="3">
        <v>4.8000000000000001E-2</v>
      </c>
      <c r="P12" s="3">
        <v>0.114</v>
      </c>
      <c r="Q12" s="3">
        <v>0</v>
      </c>
      <c r="R12" s="3"/>
      <c r="S12" s="3">
        <v>3.109</v>
      </c>
      <c r="T12" s="3">
        <v>0</v>
      </c>
      <c r="U12" s="3">
        <v>0</v>
      </c>
      <c r="V12" s="3"/>
      <c r="W12" s="3">
        <v>6.38</v>
      </c>
      <c r="X12" s="3"/>
      <c r="Y12" s="3">
        <v>0</v>
      </c>
      <c r="Z12" s="4">
        <v>1.4119999999999999</v>
      </c>
      <c r="AA12" s="4">
        <f t="shared" si="1"/>
        <v>-0.11</v>
      </c>
    </row>
    <row r="13" spans="1:27" ht="16" x14ac:dyDescent="0.2">
      <c r="A13" s="3" t="s">
        <v>43</v>
      </c>
      <c r="B13" s="3" t="s">
        <v>0</v>
      </c>
      <c r="C13" s="3">
        <v>21</v>
      </c>
      <c r="D13" s="3" t="s">
        <v>45</v>
      </c>
      <c r="E13" s="3">
        <v>4.7E-2</v>
      </c>
      <c r="F13" s="3">
        <v>7.1999999999999995E-2</v>
      </c>
      <c r="G13" s="3">
        <f t="shared" si="0"/>
        <v>0.49642271999999993</v>
      </c>
      <c r="H13" s="3">
        <v>1.17</v>
      </c>
      <c r="I13" s="3">
        <v>0</v>
      </c>
      <c r="J13" s="3">
        <v>0</v>
      </c>
      <c r="K13" s="3">
        <v>0</v>
      </c>
      <c r="L13" s="3">
        <v>0</v>
      </c>
      <c r="M13" s="3">
        <v>3.4000000000000002E-2</v>
      </c>
      <c r="N13" s="3">
        <v>0</v>
      </c>
      <c r="O13" s="3">
        <v>0</v>
      </c>
      <c r="P13" s="3">
        <v>0</v>
      </c>
      <c r="Q13" s="3">
        <v>0</v>
      </c>
      <c r="R13" s="3"/>
      <c r="S13" s="3">
        <v>4.9640000000000004</v>
      </c>
      <c r="T13" s="2"/>
      <c r="U13" s="2"/>
      <c r="V13" s="3"/>
      <c r="W13" s="2"/>
      <c r="X13" s="2"/>
      <c r="Y13" s="3">
        <v>1.855</v>
      </c>
      <c r="Z13" s="4">
        <v>1.238</v>
      </c>
      <c r="AA13" s="4">
        <f t="shared" si="1"/>
        <v>1.821</v>
      </c>
    </row>
    <row r="14" spans="1:27" ht="16" x14ac:dyDescent="0.2">
      <c r="A14" s="3" t="s">
        <v>43</v>
      </c>
      <c r="B14" s="3" t="s">
        <v>0</v>
      </c>
      <c r="C14" s="3">
        <v>45</v>
      </c>
      <c r="D14" s="3" t="s">
        <v>45</v>
      </c>
      <c r="E14" s="3">
        <v>0.16</v>
      </c>
      <c r="F14" s="3">
        <v>0.4</v>
      </c>
      <c r="G14" s="3">
        <f t="shared" si="0"/>
        <v>2.7579039999999999</v>
      </c>
      <c r="H14" s="3">
        <v>3.1859999999999999</v>
      </c>
      <c r="I14" s="3">
        <v>0</v>
      </c>
      <c r="J14" s="3">
        <v>0</v>
      </c>
      <c r="K14" s="3">
        <v>0</v>
      </c>
      <c r="L14" s="3">
        <v>0</v>
      </c>
      <c r="M14" s="3">
        <v>3.4000000000000002E-2</v>
      </c>
      <c r="N14" s="3">
        <v>0</v>
      </c>
      <c r="O14" s="3">
        <v>0</v>
      </c>
      <c r="P14" s="3">
        <v>0</v>
      </c>
      <c r="Q14" s="3">
        <v>0</v>
      </c>
      <c r="R14" s="3"/>
      <c r="S14" s="3">
        <v>11.156000000000001</v>
      </c>
      <c r="T14" s="2"/>
      <c r="U14" s="2"/>
      <c r="V14" s="3"/>
      <c r="W14" s="2"/>
      <c r="X14" s="2"/>
      <c r="Y14" s="3">
        <v>8.0470000000000006</v>
      </c>
      <c r="Z14" s="4">
        <v>3.254</v>
      </c>
      <c r="AA14" s="4">
        <f t="shared" si="1"/>
        <v>8.0129999999999999</v>
      </c>
    </row>
    <row r="15" spans="1:27" ht="16" x14ac:dyDescent="0.2">
      <c r="A15" s="3" t="s">
        <v>43</v>
      </c>
      <c r="B15" s="3" t="s">
        <v>0</v>
      </c>
      <c r="C15" s="3">
        <v>69</v>
      </c>
      <c r="D15" s="3" t="s">
        <v>45</v>
      </c>
      <c r="E15" s="3">
        <v>0.52</v>
      </c>
      <c r="F15" s="3">
        <v>1.28</v>
      </c>
      <c r="G15" s="3">
        <f t="shared" si="0"/>
        <v>8.8252927999999997</v>
      </c>
      <c r="H15" s="3">
        <v>2.9769999999999999</v>
      </c>
      <c r="I15" s="3">
        <v>0</v>
      </c>
      <c r="J15" s="3">
        <v>0.38300000000000001</v>
      </c>
      <c r="K15" s="3">
        <v>0</v>
      </c>
      <c r="L15" s="3">
        <v>0.61399999999999999</v>
      </c>
      <c r="M15" s="3">
        <v>9.6000000000000002E-2</v>
      </c>
      <c r="N15" s="3">
        <v>0</v>
      </c>
      <c r="O15" s="3">
        <v>0.66300000000000003</v>
      </c>
      <c r="P15" s="3">
        <v>0.6</v>
      </c>
      <c r="Q15" s="3">
        <v>0</v>
      </c>
      <c r="R15" s="3"/>
      <c r="S15" s="3">
        <v>29.273</v>
      </c>
      <c r="T15" s="2"/>
      <c r="U15" s="2"/>
      <c r="V15" s="3"/>
      <c r="W15" s="2"/>
      <c r="X15" s="2"/>
      <c r="Y15" s="3">
        <v>26.164000000000001</v>
      </c>
      <c r="Z15" s="4">
        <v>7.9550000000000001</v>
      </c>
      <c r="AA15" s="4">
        <f t="shared" si="1"/>
        <v>25.071000000000002</v>
      </c>
    </row>
    <row r="16" spans="1:27" ht="16" x14ac:dyDescent="0.2">
      <c r="A16" s="3" t="s">
        <v>43</v>
      </c>
      <c r="B16" s="3" t="s">
        <v>0</v>
      </c>
      <c r="C16" s="3">
        <v>92</v>
      </c>
      <c r="D16" s="3" t="s">
        <v>45</v>
      </c>
      <c r="E16" s="3">
        <v>0.59</v>
      </c>
      <c r="F16" s="3">
        <v>0.92</v>
      </c>
      <c r="G16" s="3">
        <f t="shared" si="0"/>
        <v>6.3431791999999998</v>
      </c>
      <c r="H16" s="3">
        <v>1.8759999999999999</v>
      </c>
      <c r="I16" s="3">
        <v>0</v>
      </c>
      <c r="J16" s="3">
        <v>0.59499999999999997</v>
      </c>
      <c r="K16" s="3">
        <v>0</v>
      </c>
      <c r="L16" s="3">
        <v>0.85</v>
      </c>
      <c r="M16" s="3">
        <v>0.10299999999999999</v>
      </c>
      <c r="N16" s="3">
        <v>0</v>
      </c>
      <c r="O16" s="3">
        <v>0.505</v>
      </c>
      <c r="P16" s="3">
        <v>0.98699999999999999</v>
      </c>
      <c r="Q16" s="3">
        <v>0.59099999999999997</v>
      </c>
      <c r="R16" s="3"/>
      <c r="S16" s="3">
        <v>33.473999999999997</v>
      </c>
      <c r="T16" s="2"/>
      <c r="U16" s="2"/>
      <c r="V16" s="3"/>
      <c r="W16" s="2"/>
      <c r="X16" s="2"/>
      <c r="Y16" s="3">
        <v>30.364999999999998</v>
      </c>
      <c r="Z16" s="4">
        <v>10.367000000000001</v>
      </c>
      <c r="AA16" s="4">
        <f t="shared" si="1"/>
        <v>28.817</v>
      </c>
    </row>
    <row r="17" spans="1:27" ht="16" x14ac:dyDescent="0.2">
      <c r="A17" s="3" t="s">
        <v>43</v>
      </c>
      <c r="B17" s="3" t="s">
        <v>0</v>
      </c>
      <c r="C17" s="3">
        <v>117</v>
      </c>
      <c r="D17" s="3" t="s">
        <v>45</v>
      </c>
      <c r="E17" s="3">
        <v>0.53</v>
      </c>
      <c r="F17" s="3">
        <v>0.52</v>
      </c>
      <c r="G17" s="3">
        <f t="shared" si="0"/>
        <v>3.5852751999999999</v>
      </c>
      <c r="H17" s="3">
        <v>2.1160000000000001</v>
      </c>
      <c r="I17" s="3">
        <v>0</v>
      </c>
      <c r="J17" s="3">
        <v>1.3939999999999999</v>
      </c>
      <c r="K17" s="3">
        <v>0</v>
      </c>
      <c r="L17" s="3">
        <v>1.94</v>
      </c>
      <c r="M17" s="3">
        <v>0.17499999999999999</v>
      </c>
      <c r="N17" s="3">
        <v>0</v>
      </c>
      <c r="O17" s="3">
        <v>0.89100000000000001</v>
      </c>
      <c r="P17" s="3">
        <v>1.8480000000000001</v>
      </c>
      <c r="Q17" s="3">
        <v>1.8120000000000001</v>
      </c>
      <c r="R17" s="3"/>
      <c r="S17" s="3">
        <v>43.293999999999997</v>
      </c>
      <c r="T17" s="3">
        <v>1.6160000000000001</v>
      </c>
      <c r="U17" s="3">
        <v>0</v>
      </c>
      <c r="V17" s="3"/>
      <c r="W17" s="2"/>
      <c r="X17" s="2"/>
      <c r="Y17" s="3">
        <v>40.185000000000002</v>
      </c>
      <c r="Z17" s="4">
        <v>21.265000000000001</v>
      </c>
      <c r="AA17" s="4">
        <f t="shared" si="1"/>
        <v>36.676000000000002</v>
      </c>
    </row>
    <row r="18" spans="1:27" ht="16" x14ac:dyDescent="0.2">
      <c r="A18" s="3" t="s">
        <v>43</v>
      </c>
      <c r="B18" s="3" t="s">
        <v>0</v>
      </c>
      <c r="C18" s="3">
        <v>142</v>
      </c>
      <c r="D18" s="3" t="s">
        <v>45</v>
      </c>
      <c r="E18" s="3">
        <v>0.45</v>
      </c>
      <c r="F18" s="3">
        <v>0.46</v>
      </c>
      <c r="G18" s="3">
        <f t="shared" si="0"/>
        <v>3.1715895999999999</v>
      </c>
      <c r="H18" s="3">
        <v>4.0430000000000001</v>
      </c>
      <c r="I18" s="3">
        <v>0.14899999999999999</v>
      </c>
      <c r="J18" s="3">
        <v>2.3380000000000001</v>
      </c>
      <c r="K18" s="3">
        <v>0.55400000000000005</v>
      </c>
      <c r="L18" s="3">
        <v>2.734</v>
      </c>
      <c r="M18" s="3">
        <v>0.189</v>
      </c>
      <c r="N18" s="3">
        <v>0.13300000000000001</v>
      </c>
      <c r="O18" s="3">
        <v>1.1990000000000001</v>
      </c>
      <c r="P18" s="3">
        <v>2.1920000000000002</v>
      </c>
      <c r="Q18" s="3">
        <v>2.8330000000000002</v>
      </c>
      <c r="R18" s="3"/>
      <c r="S18" s="3">
        <v>43.262</v>
      </c>
      <c r="T18" s="2"/>
      <c r="U18" s="2"/>
      <c r="V18" s="3"/>
      <c r="W18" s="2"/>
      <c r="X18" s="2"/>
      <c r="Y18" s="3">
        <v>40.152999999999999</v>
      </c>
      <c r="Z18" s="4">
        <v>32.521000000000001</v>
      </c>
      <c r="AA18" s="4">
        <f t="shared" si="1"/>
        <v>34.61</v>
      </c>
    </row>
    <row r="19" spans="1:27" ht="16" x14ac:dyDescent="0.2">
      <c r="A19" s="3" t="s">
        <v>43</v>
      </c>
      <c r="B19" s="3" t="s">
        <v>0</v>
      </c>
      <c r="C19" s="3">
        <v>168</v>
      </c>
      <c r="D19" s="3" t="s">
        <v>45</v>
      </c>
      <c r="E19" s="3">
        <v>0.42</v>
      </c>
      <c r="F19" s="3">
        <v>0.26</v>
      </c>
      <c r="G19" s="3">
        <f t="shared" si="0"/>
        <v>1.7926375999999999</v>
      </c>
      <c r="H19" s="3">
        <v>4.5880000000000001</v>
      </c>
      <c r="I19" s="3">
        <v>0.26400000000000001</v>
      </c>
      <c r="J19" s="3">
        <v>2.5579999999999998</v>
      </c>
      <c r="K19" s="3">
        <v>0.68400000000000005</v>
      </c>
      <c r="L19" s="3">
        <v>2.9260000000000002</v>
      </c>
      <c r="M19" s="3">
        <v>0.23100000000000001</v>
      </c>
      <c r="N19" s="3">
        <v>0.14299999999999999</v>
      </c>
      <c r="O19" s="3">
        <v>1.254</v>
      </c>
      <c r="P19" s="3">
        <v>2.3490000000000002</v>
      </c>
      <c r="Q19" s="3">
        <v>3.0209999999999999</v>
      </c>
      <c r="R19" s="3"/>
      <c r="S19" s="3">
        <v>43.628</v>
      </c>
      <c r="T19" s="2"/>
      <c r="U19" s="2"/>
      <c r="V19" s="3"/>
      <c r="W19" s="2"/>
      <c r="X19" s="2"/>
      <c r="Y19" s="3">
        <v>40.518999999999998</v>
      </c>
      <c r="Z19" s="4">
        <v>35.344999999999999</v>
      </c>
      <c r="AA19" s="4">
        <f t="shared" si="1"/>
        <v>34.396999999999998</v>
      </c>
    </row>
    <row r="20" spans="1:27" ht="16" x14ac:dyDescent="0.2">
      <c r="A20" s="3" t="s">
        <v>43</v>
      </c>
      <c r="B20" s="3" t="s">
        <v>0</v>
      </c>
      <c r="C20" s="3">
        <v>190</v>
      </c>
      <c r="D20" s="3" t="s">
        <v>45</v>
      </c>
      <c r="E20" s="3">
        <v>0.24</v>
      </c>
      <c r="F20" s="3">
        <v>0.18</v>
      </c>
      <c r="G20" s="3">
        <f t="shared" si="0"/>
        <v>1.2410568</v>
      </c>
      <c r="H20" s="3">
        <v>4.5679999999999996</v>
      </c>
      <c r="I20" s="3">
        <v>0.31</v>
      </c>
      <c r="J20" s="3">
        <v>2.4689999999999999</v>
      </c>
      <c r="K20" s="3">
        <v>0.69</v>
      </c>
      <c r="L20" s="3">
        <v>2.8719999999999999</v>
      </c>
      <c r="M20" s="3">
        <v>0.21</v>
      </c>
      <c r="N20" s="3">
        <v>0.153</v>
      </c>
      <c r="O20" s="3">
        <v>1.179</v>
      </c>
      <c r="P20" s="3">
        <v>2.2360000000000002</v>
      </c>
      <c r="Q20" s="3">
        <v>2.9460000000000002</v>
      </c>
      <c r="R20" s="3"/>
      <c r="S20" s="3">
        <v>44.593000000000004</v>
      </c>
      <c r="T20" s="3">
        <v>2.1589999999999998</v>
      </c>
      <c r="U20" s="3">
        <v>0</v>
      </c>
      <c r="V20" s="3"/>
      <c r="W20" s="2"/>
      <c r="X20" s="2"/>
      <c r="Y20" s="3">
        <v>41.484000000000002</v>
      </c>
      <c r="Z20" s="4">
        <v>34.353999999999999</v>
      </c>
      <c r="AA20" s="4">
        <f t="shared" si="1"/>
        <v>35.47</v>
      </c>
    </row>
    <row r="21" spans="1:27" s="10" customFormat="1" ht="16" x14ac:dyDescent="0.2">
      <c r="A21" s="6" t="s">
        <v>43</v>
      </c>
      <c r="B21" s="6" t="s">
        <v>0</v>
      </c>
      <c r="C21" s="6">
        <v>240</v>
      </c>
      <c r="D21" s="6" t="s">
        <v>45</v>
      </c>
      <c r="E21" s="6">
        <v>9.5000000000000001E-2</v>
      </c>
      <c r="F21" s="7"/>
      <c r="G21" s="3"/>
      <c r="H21" s="6">
        <v>4.4939999999999998</v>
      </c>
      <c r="I21" s="6">
        <v>0.32100000000000001</v>
      </c>
      <c r="J21" s="6">
        <v>2.2210000000000001</v>
      </c>
      <c r="K21" s="6">
        <v>0.63400000000000001</v>
      </c>
      <c r="L21" s="6">
        <v>2.613</v>
      </c>
      <c r="M21" s="6">
        <v>0.182</v>
      </c>
      <c r="N21" s="6">
        <v>0.122</v>
      </c>
      <c r="O21" s="6">
        <v>1.0649999999999999</v>
      </c>
      <c r="P21" s="6">
        <v>2.0619999999999998</v>
      </c>
      <c r="Q21" s="6">
        <v>2.7450000000000001</v>
      </c>
      <c r="R21" s="6"/>
      <c r="S21" s="6">
        <v>45.884999999999998</v>
      </c>
      <c r="T21" s="6">
        <v>2.4489999999999998</v>
      </c>
      <c r="U21" s="6">
        <v>0</v>
      </c>
      <c r="V21" s="6">
        <v>1.208</v>
      </c>
      <c r="W21" s="6">
        <v>6.88</v>
      </c>
      <c r="X21" s="6"/>
      <c r="Y21" s="6">
        <v>42.776000000000003</v>
      </c>
      <c r="Z21" s="11">
        <v>33.094000000000001</v>
      </c>
      <c r="AA21" s="11">
        <f t="shared" si="1"/>
        <v>37.317000000000007</v>
      </c>
    </row>
    <row r="22" spans="1:27" ht="16" x14ac:dyDescent="0.2">
      <c r="A22" s="3" t="s">
        <v>43</v>
      </c>
      <c r="B22" s="3" t="s">
        <v>0</v>
      </c>
      <c r="C22" s="3">
        <v>0</v>
      </c>
      <c r="D22" s="3" t="s">
        <v>46</v>
      </c>
      <c r="E22" s="3">
        <v>0.01</v>
      </c>
      <c r="F22" s="3">
        <v>0.54</v>
      </c>
      <c r="G22" s="3">
        <f t="shared" si="0"/>
        <v>3.7231704000000003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3.4000000000000002E-2</v>
      </c>
      <c r="N22" s="3">
        <v>0</v>
      </c>
      <c r="O22" s="3">
        <v>0</v>
      </c>
      <c r="P22" s="3">
        <v>1.4999999999999999E-2</v>
      </c>
      <c r="Q22" s="3">
        <v>0</v>
      </c>
      <c r="R22" s="3"/>
      <c r="S22" s="3">
        <v>3.0190000000000001</v>
      </c>
      <c r="T22" s="3">
        <v>0</v>
      </c>
      <c r="U22" s="3">
        <v>0</v>
      </c>
      <c r="V22" s="3"/>
      <c r="W22" s="3">
        <v>6.38</v>
      </c>
      <c r="X22" s="3"/>
      <c r="Y22" s="3">
        <v>0</v>
      </c>
      <c r="Z22" s="4">
        <v>0.113</v>
      </c>
      <c r="AA22" s="4">
        <f t="shared" si="1"/>
        <v>-3.4000000000000002E-2</v>
      </c>
    </row>
    <row r="23" spans="1:27" ht="16" x14ac:dyDescent="0.2">
      <c r="A23" s="3" t="s">
        <v>43</v>
      </c>
      <c r="B23" s="3" t="s">
        <v>0</v>
      </c>
      <c r="C23" s="3">
        <v>21</v>
      </c>
      <c r="D23" s="3" t="s">
        <v>46</v>
      </c>
      <c r="E23" s="3">
        <v>0.04</v>
      </c>
      <c r="F23" s="3">
        <v>0.74</v>
      </c>
      <c r="G23" s="3">
        <f t="shared" si="0"/>
        <v>5.1021223999999998</v>
      </c>
      <c r="H23" s="3">
        <v>1.304</v>
      </c>
      <c r="I23" s="3">
        <v>0</v>
      </c>
      <c r="J23" s="3">
        <v>0</v>
      </c>
      <c r="K23" s="3">
        <v>0</v>
      </c>
      <c r="L23" s="3">
        <v>0</v>
      </c>
      <c r="M23" s="3">
        <v>1.2E-2</v>
      </c>
      <c r="N23" s="3">
        <v>0</v>
      </c>
      <c r="O23" s="3">
        <v>0</v>
      </c>
      <c r="P23" s="3">
        <v>0</v>
      </c>
      <c r="Q23" s="3">
        <v>0</v>
      </c>
      <c r="R23" s="3"/>
      <c r="S23" s="3">
        <v>4.3769999999999998</v>
      </c>
      <c r="T23" s="2"/>
      <c r="U23" s="2"/>
      <c r="V23" s="3"/>
      <c r="W23" s="2"/>
      <c r="X23" s="2"/>
      <c r="Y23" s="3">
        <v>1.3580000000000001</v>
      </c>
      <c r="Z23" s="4">
        <v>1.3280000000000001</v>
      </c>
      <c r="AA23" s="4">
        <f t="shared" si="1"/>
        <v>1.3460000000000001</v>
      </c>
    </row>
    <row r="24" spans="1:27" ht="16" x14ac:dyDescent="0.2">
      <c r="A24" s="3" t="s">
        <v>43</v>
      </c>
      <c r="B24" s="3" t="s">
        <v>0</v>
      </c>
      <c r="C24" s="3">
        <v>45</v>
      </c>
      <c r="D24" s="3" t="s">
        <v>46</v>
      </c>
      <c r="E24" s="3">
        <v>0.12</v>
      </c>
      <c r="F24" s="3">
        <v>0.28000000000000003</v>
      </c>
      <c r="G24" s="3">
        <f t="shared" si="0"/>
        <v>1.9305328000000002</v>
      </c>
      <c r="H24" s="3">
        <v>2.3330000000000002</v>
      </c>
      <c r="I24" s="3">
        <v>0</v>
      </c>
      <c r="J24" s="3">
        <v>0</v>
      </c>
      <c r="K24" s="3">
        <v>0</v>
      </c>
      <c r="L24" s="3">
        <v>0</v>
      </c>
      <c r="M24" s="3">
        <v>7.0000000000000001E-3</v>
      </c>
      <c r="N24" s="3">
        <v>0</v>
      </c>
      <c r="O24" s="3">
        <v>0</v>
      </c>
      <c r="P24" s="3">
        <v>0</v>
      </c>
      <c r="Q24" s="3">
        <v>0</v>
      </c>
      <c r="R24" s="3"/>
      <c r="S24" s="3">
        <v>9.2840000000000007</v>
      </c>
      <c r="T24" s="2"/>
      <c r="U24" s="2"/>
      <c r="V24" s="3"/>
      <c r="W24" s="2"/>
      <c r="X24" s="2"/>
      <c r="Y24" s="3">
        <v>6.2649999999999997</v>
      </c>
      <c r="Z24" s="4">
        <v>2.347</v>
      </c>
      <c r="AA24" s="4">
        <f t="shared" si="1"/>
        <v>6.258</v>
      </c>
    </row>
    <row r="25" spans="1:27" ht="16" x14ac:dyDescent="0.2">
      <c r="A25" s="3" t="s">
        <v>43</v>
      </c>
      <c r="B25" s="3" t="s">
        <v>0</v>
      </c>
      <c r="C25" s="3">
        <v>69</v>
      </c>
      <c r="D25" s="3" t="s">
        <v>46</v>
      </c>
      <c r="E25" s="3">
        <v>0.43</v>
      </c>
      <c r="F25" s="3">
        <v>0.8</v>
      </c>
      <c r="G25" s="3">
        <f t="shared" si="0"/>
        <v>5.5158079999999998</v>
      </c>
      <c r="H25" s="3">
        <v>3.5910000000000002</v>
      </c>
      <c r="I25" s="3">
        <v>0</v>
      </c>
      <c r="J25" s="3">
        <v>0.39400000000000002</v>
      </c>
      <c r="K25" s="3">
        <v>0</v>
      </c>
      <c r="L25" s="3">
        <v>0.504</v>
      </c>
      <c r="M25" s="3">
        <v>0.122</v>
      </c>
      <c r="N25" s="3">
        <v>0</v>
      </c>
      <c r="O25" s="3">
        <v>0.67400000000000004</v>
      </c>
      <c r="P25" s="3">
        <v>0.48399999999999999</v>
      </c>
      <c r="Q25" s="3">
        <v>0</v>
      </c>
      <c r="R25" s="3"/>
      <c r="S25" s="3">
        <v>23.05</v>
      </c>
      <c r="T25" s="2"/>
      <c r="U25" s="2"/>
      <c r="V25" s="3"/>
      <c r="W25" s="2"/>
      <c r="X25" s="2"/>
      <c r="Y25" s="3">
        <v>20.030999999999999</v>
      </c>
      <c r="Z25" s="4">
        <v>8.2070000000000007</v>
      </c>
      <c r="AA25" s="4">
        <f t="shared" si="1"/>
        <v>19.010999999999999</v>
      </c>
    </row>
    <row r="26" spans="1:27" ht="16" x14ac:dyDescent="0.2">
      <c r="A26" s="3" t="s">
        <v>43</v>
      </c>
      <c r="B26" s="3" t="s">
        <v>0</v>
      </c>
      <c r="C26" s="3">
        <v>92</v>
      </c>
      <c r="D26" s="3" t="s">
        <v>46</v>
      </c>
      <c r="E26" s="3">
        <v>0.52</v>
      </c>
      <c r="F26" s="3">
        <v>0.72</v>
      </c>
      <c r="G26" s="3">
        <f t="shared" si="0"/>
        <v>4.9642271999999998</v>
      </c>
      <c r="H26" s="3">
        <v>2.7759999999999998</v>
      </c>
      <c r="I26" s="3">
        <v>0</v>
      </c>
      <c r="J26" s="3">
        <v>0.72</v>
      </c>
      <c r="K26" s="3">
        <v>0</v>
      </c>
      <c r="L26" s="3">
        <v>0.90300000000000002</v>
      </c>
      <c r="M26" s="3">
        <v>9.9000000000000005E-2</v>
      </c>
      <c r="N26" s="3">
        <v>0</v>
      </c>
      <c r="O26" s="3">
        <v>0.58699999999999997</v>
      </c>
      <c r="P26" s="3">
        <v>1.077</v>
      </c>
      <c r="Q26" s="3">
        <v>0.54600000000000004</v>
      </c>
      <c r="R26" s="3"/>
      <c r="S26" s="3">
        <v>32.280999999999999</v>
      </c>
      <c r="T26" s="2"/>
      <c r="U26" s="2"/>
      <c r="V26" s="3"/>
      <c r="W26" s="2"/>
      <c r="X26" s="2"/>
      <c r="Y26" s="3">
        <v>29.262</v>
      </c>
      <c r="Z26" s="4">
        <v>11.773</v>
      </c>
      <c r="AA26" s="4">
        <f t="shared" si="1"/>
        <v>27.54</v>
      </c>
    </row>
    <row r="27" spans="1:27" ht="16" x14ac:dyDescent="0.2">
      <c r="A27" s="3" t="s">
        <v>43</v>
      </c>
      <c r="B27" s="3" t="s">
        <v>0</v>
      </c>
      <c r="C27" s="3">
        <v>117</v>
      </c>
      <c r="D27" s="3" t="s">
        <v>46</v>
      </c>
      <c r="E27" s="3">
        <v>0.57999999999999996</v>
      </c>
      <c r="F27" s="3">
        <v>0.3</v>
      </c>
      <c r="G27" s="3">
        <f t="shared" si="0"/>
        <v>2.0684279999999999</v>
      </c>
      <c r="H27" s="3">
        <v>2.4540000000000002</v>
      </c>
      <c r="I27" s="3">
        <v>0</v>
      </c>
      <c r="J27" s="3">
        <v>1.0209999999999999</v>
      </c>
      <c r="K27" s="3">
        <v>0</v>
      </c>
      <c r="L27" s="3">
        <v>1.3839999999999999</v>
      </c>
      <c r="M27" s="3">
        <v>0.13300000000000001</v>
      </c>
      <c r="N27" s="3">
        <v>0</v>
      </c>
      <c r="O27" s="3">
        <v>0.69399999999999995</v>
      </c>
      <c r="P27" s="3">
        <v>1.5720000000000001</v>
      </c>
      <c r="Q27" s="3">
        <v>1.3720000000000001</v>
      </c>
      <c r="R27" s="3"/>
      <c r="S27" s="3">
        <v>42.064999999999998</v>
      </c>
      <c r="T27" s="3">
        <v>1.7370000000000001</v>
      </c>
      <c r="U27" s="3">
        <v>0</v>
      </c>
      <c r="V27" s="3"/>
      <c r="W27" s="2"/>
      <c r="X27" s="2"/>
      <c r="Y27" s="3">
        <v>39.045999999999999</v>
      </c>
      <c r="Z27" s="4">
        <v>17.411000000000001</v>
      </c>
      <c r="AA27" s="4">
        <f t="shared" si="1"/>
        <v>36.508000000000003</v>
      </c>
    </row>
    <row r="28" spans="1:27" ht="16" x14ac:dyDescent="0.2">
      <c r="A28" s="3" t="s">
        <v>43</v>
      </c>
      <c r="B28" s="3" t="s">
        <v>0</v>
      </c>
      <c r="C28" s="3">
        <v>142</v>
      </c>
      <c r="D28" s="3" t="s">
        <v>46</v>
      </c>
      <c r="E28" s="3">
        <v>0.44</v>
      </c>
      <c r="F28" s="3">
        <v>0.3</v>
      </c>
      <c r="G28" s="3">
        <f t="shared" si="0"/>
        <v>2.0684279999999999</v>
      </c>
      <c r="H28" s="3">
        <v>3.464</v>
      </c>
      <c r="I28" s="3">
        <v>2.8000000000000001E-2</v>
      </c>
      <c r="J28" s="3">
        <v>1.956</v>
      </c>
      <c r="K28" s="3">
        <v>0.33900000000000002</v>
      </c>
      <c r="L28" s="3">
        <v>2.2200000000000002</v>
      </c>
      <c r="M28" s="3">
        <v>0.151</v>
      </c>
      <c r="N28" s="3">
        <v>8.8999999999999996E-2</v>
      </c>
      <c r="O28" s="3">
        <v>0.999</v>
      </c>
      <c r="P28" s="3">
        <v>2.008</v>
      </c>
      <c r="Q28" s="3">
        <v>2.5379999999999998</v>
      </c>
      <c r="R28" s="3"/>
      <c r="S28" s="3">
        <v>41.587000000000003</v>
      </c>
      <c r="T28" s="2"/>
      <c r="U28" s="2"/>
      <c r="V28" s="3"/>
      <c r="W28" s="2"/>
      <c r="X28" s="2"/>
      <c r="Y28" s="3">
        <v>38.567999999999998</v>
      </c>
      <c r="Z28" s="4">
        <v>27.998999999999999</v>
      </c>
      <c r="AA28" s="4">
        <f t="shared" si="1"/>
        <v>34.123999999999995</v>
      </c>
    </row>
    <row r="29" spans="1:27" ht="16" x14ac:dyDescent="0.2">
      <c r="A29" s="3" t="s">
        <v>43</v>
      </c>
      <c r="B29" s="3" t="s">
        <v>0</v>
      </c>
      <c r="C29" s="3">
        <v>168</v>
      </c>
      <c r="D29" s="3" t="s">
        <v>46</v>
      </c>
      <c r="E29" s="3">
        <v>0.36</v>
      </c>
      <c r="F29" s="3">
        <v>0.14000000000000001</v>
      </c>
      <c r="G29" s="3">
        <f t="shared" si="0"/>
        <v>0.96526640000000008</v>
      </c>
      <c r="H29" s="3">
        <v>4.05</v>
      </c>
      <c r="I29" s="3">
        <v>0.14899999999999999</v>
      </c>
      <c r="J29" s="3">
        <v>2.1890000000000001</v>
      </c>
      <c r="K29" s="3">
        <v>0.53800000000000003</v>
      </c>
      <c r="L29" s="3">
        <v>2.468</v>
      </c>
      <c r="M29" s="3">
        <v>0.19</v>
      </c>
      <c r="N29" s="3">
        <v>0.122</v>
      </c>
      <c r="O29" s="3">
        <v>1.0860000000000001</v>
      </c>
      <c r="P29" s="3">
        <v>2.222</v>
      </c>
      <c r="Q29" s="3">
        <v>2.7549999999999999</v>
      </c>
      <c r="R29" s="3"/>
      <c r="S29" s="3">
        <v>42.494999999999997</v>
      </c>
      <c r="T29" s="2"/>
      <c r="U29" s="2"/>
      <c r="V29" s="3"/>
      <c r="W29" s="2"/>
      <c r="X29" s="2"/>
      <c r="Y29" s="3">
        <v>39.475999999999999</v>
      </c>
      <c r="Z29" s="4">
        <v>31.5</v>
      </c>
      <c r="AA29" s="4">
        <f t="shared" si="1"/>
        <v>34.357999999999997</v>
      </c>
    </row>
    <row r="30" spans="1:27" ht="16" x14ac:dyDescent="0.2">
      <c r="A30" s="3" t="s">
        <v>43</v>
      </c>
      <c r="B30" s="3" t="s">
        <v>0</v>
      </c>
      <c r="C30" s="3">
        <v>190</v>
      </c>
      <c r="D30" s="3" t="s">
        <v>46</v>
      </c>
      <c r="E30" s="3">
        <v>0.23</v>
      </c>
      <c r="F30" s="3">
        <v>0</v>
      </c>
      <c r="G30" s="3">
        <f t="shared" si="0"/>
        <v>0</v>
      </c>
      <c r="H30" s="3">
        <v>3.7650000000000001</v>
      </c>
      <c r="I30" s="3">
        <v>0.17</v>
      </c>
      <c r="J30" s="3">
        <v>2.0190000000000001</v>
      </c>
      <c r="K30" s="3">
        <v>0.51500000000000001</v>
      </c>
      <c r="L30" s="3">
        <v>2.1829999999999998</v>
      </c>
      <c r="M30" s="3">
        <v>0.17100000000000001</v>
      </c>
      <c r="N30" s="3">
        <v>9.8000000000000004E-2</v>
      </c>
      <c r="O30" s="3">
        <v>0.94199999999999995</v>
      </c>
      <c r="P30" s="3">
        <v>1.944</v>
      </c>
      <c r="Q30" s="3">
        <v>2.4159999999999999</v>
      </c>
      <c r="R30" s="3"/>
      <c r="S30" s="3">
        <v>43.307000000000002</v>
      </c>
      <c r="T30" s="3">
        <v>2.1389999999999998</v>
      </c>
      <c r="U30" s="3">
        <v>0</v>
      </c>
      <c r="V30" s="3"/>
      <c r="W30" s="2"/>
      <c r="X30" s="2"/>
      <c r="Y30" s="3">
        <v>40.287999999999997</v>
      </c>
      <c r="Z30" s="4">
        <v>28.027000000000001</v>
      </c>
      <c r="AA30" s="4">
        <f t="shared" si="1"/>
        <v>35.646999999999998</v>
      </c>
    </row>
    <row r="31" spans="1:27" s="10" customFormat="1" ht="16" x14ac:dyDescent="0.2">
      <c r="A31" s="6" t="s">
        <v>43</v>
      </c>
      <c r="B31" s="6" t="s">
        <v>0</v>
      </c>
      <c r="C31" s="6">
        <v>240</v>
      </c>
      <c r="D31" s="6" t="s">
        <v>46</v>
      </c>
      <c r="E31" s="6">
        <v>9.6000000000000002E-2</v>
      </c>
      <c r="F31" s="7"/>
      <c r="G31" s="3"/>
      <c r="H31" s="6">
        <v>5.218</v>
      </c>
      <c r="I31" s="6">
        <v>0.41</v>
      </c>
      <c r="J31" s="6">
        <v>2.496</v>
      </c>
      <c r="K31" s="6">
        <v>0.72799999999999998</v>
      </c>
      <c r="L31" s="6">
        <v>2.7040000000000002</v>
      </c>
      <c r="M31" s="6">
        <v>0.216</v>
      </c>
      <c r="N31" s="6">
        <v>0.157</v>
      </c>
      <c r="O31" s="6">
        <v>1.131</v>
      </c>
      <c r="P31" s="6">
        <v>2.323</v>
      </c>
      <c r="Q31" s="6">
        <v>2.7330000000000001</v>
      </c>
      <c r="R31" s="6"/>
      <c r="S31" s="6">
        <v>52.838999999999999</v>
      </c>
      <c r="T31" s="6">
        <v>1.7230000000000001</v>
      </c>
      <c r="U31" s="6">
        <v>0</v>
      </c>
      <c r="V31" s="6">
        <v>1.155</v>
      </c>
      <c r="W31" s="6">
        <v>6.85</v>
      </c>
      <c r="X31" s="6"/>
      <c r="Y31" s="6">
        <v>49.82</v>
      </c>
      <c r="Z31" s="11">
        <v>35.478999999999999</v>
      </c>
      <c r="AA31" s="11">
        <f t="shared" si="1"/>
        <v>43.837000000000003</v>
      </c>
    </row>
    <row r="32" spans="1:27" ht="16" x14ac:dyDescent="0.2">
      <c r="A32" s="3" t="s">
        <v>43</v>
      </c>
      <c r="B32" s="3" t="s">
        <v>3</v>
      </c>
      <c r="C32" s="3">
        <v>0</v>
      </c>
      <c r="D32" s="3" t="s">
        <v>44</v>
      </c>
      <c r="E32" s="3">
        <v>8.0000000000000002E-3</v>
      </c>
      <c r="F32" s="3">
        <v>0.5</v>
      </c>
      <c r="G32" s="3">
        <f t="shared" si="0"/>
        <v>3.4473799999999999</v>
      </c>
      <c r="H32" s="3">
        <v>0.58660000000000001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118.88800000000001</v>
      </c>
      <c r="S32" s="3">
        <v>3.1720000000000002</v>
      </c>
      <c r="T32" s="3">
        <v>0</v>
      </c>
      <c r="U32" s="3">
        <v>0</v>
      </c>
      <c r="V32" s="3"/>
      <c r="W32" s="3">
        <v>6.29</v>
      </c>
      <c r="X32" s="3">
        <v>0</v>
      </c>
      <c r="Y32" s="3">
        <v>0</v>
      </c>
      <c r="Z32" s="4">
        <v>0.58660000000000001</v>
      </c>
      <c r="AA32" s="4">
        <f t="shared" si="1"/>
        <v>0</v>
      </c>
    </row>
    <row r="33" spans="1:27" ht="16" x14ac:dyDescent="0.2">
      <c r="A33" s="3" t="s">
        <v>43</v>
      </c>
      <c r="B33" s="3" t="s">
        <v>3</v>
      </c>
      <c r="C33" s="3">
        <v>21</v>
      </c>
      <c r="D33" s="3" t="s">
        <v>44</v>
      </c>
      <c r="E33" s="3">
        <v>6.9000000000000006E-2</v>
      </c>
      <c r="F33" s="3">
        <v>0.9</v>
      </c>
      <c r="G33" s="3">
        <f t="shared" si="0"/>
        <v>6.2052839999999998</v>
      </c>
      <c r="H33" s="3">
        <v>1.5518000000000001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0.12809999999999999</v>
      </c>
      <c r="P33" s="3">
        <v>0</v>
      </c>
      <c r="Q33" s="3">
        <v>0</v>
      </c>
      <c r="R33" s="3">
        <v>118.61</v>
      </c>
      <c r="S33" s="3">
        <v>4.1100000000000003</v>
      </c>
      <c r="T33" s="2"/>
      <c r="U33" s="2"/>
      <c r="V33" s="3"/>
      <c r="W33" s="2"/>
      <c r="X33" s="3">
        <v>0.27800000000000002</v>
      </c>
      <c r="Y33" s="3">
        <v>0.93799999999999994</v>
      </c>
      <c r="Z33" s="4">
        <v>1.9360999999999999</v>
      </c>
      <c r="AA33" s="4">
        <f t="shared" si="1"/>
        <v>0.93799999999999994</v>
      </c>
    </row>
    <row r="34" spans="1:27" ht="16" x14ac:dyDescent="0.2">
      <c r="A34" s="3" t="s">
        <v>43</v>
      </c>
      <c r="B34" s="3" t="s">
        <v>3</v>
      </c>
      <c r="C34" s="3">
        <v>45</v>
      </c>
      <c r="D34" s="3" t="s">
        <v>44</v>
      </c>
      <c r="E34" s="3">
        <v>0.47</v>
      </c>
      <c r="F34" s="3">
        <v>2.5</v>
      </c>
      <c r="G34" s="3">
        <f t="shared" si="0"/>
        <v>17.236899999999999</v>
      </c>
      <c r="H34" s="3">
        <v>6.1890000000000001</v>
      </c>
      <c r="I34" s="3">
        <v>0</v>
      </c>
      <c r="J34" s="3">
        <v>0</v>
      </c>
      <c r="K34" s="3">
        <v>1.2999999999999999E-3</v>
      </c>
      <c r="L34" s="3">
        <v>0</v>
      </c>
      <c r="M34" s="3">
        <v>0</v>
      </c>
      <c r="N34" s="3">
        <v>0</v>
      </c>
      <c r="O34" s="3">
        <v>1.4247000000000001</v>
      </c>
      <c r="P34" s="3">
        <v>0</v>
      </c>
      <c r="Q34" s="3">
        <v>0.28029999999999999</v>
      </c>
      <c r="R34" s="3">
        <v>107.476</v>
      </c>
      <c r="S34" s="3">
        <v>11.765000000000001</v>
      </c>
      <c r="T34" s="2"/>
      <c r="U34" s="2"/>
      <c r="V34" s="3"/>
      <c r="W34" s="2"/>
      <c r="X34" s="3">
        <v>11.412000000000001</v>
      </c>
      <c r="Y34" s="3">
        <v>8.593</v>
      </c>
      <c r="Z34" s="4">
        <v>11.5869</v>
      </c>
      <c r="AA34" s="4">
        <f t="shared" si="1"/>
        <v>8.593</v>
      </c>
    </row>
    <row r="35" spans="1:27" ht="16" x14ac:dyDescent="0.2">
      <c r="A35" s="3" t="s">
        <v>43</v>
      </c>
      <c r="B35" s="3" t="s">
        <v>3</v>
      </c>
      <c r="C35" s="3">
        <v>69</v>
      </c>
      <c r="D35" s="3" t="s">
        <v>44</v>
      </c>
      <c r="E35" s="3">
        <v>1.1399999999999999</v>
      </c>
      <c r="F35" s="3">
        <v>4.0999999999999996</v>
      </c>
      <c r="G35" s="3">
        <f t="shared" si="0"/>
        <v>28.268515999999998</v>
      </c>
      <c r="H35" s="3">
        <v>7.8620999999999999</v>
      </c>
      <c r="I35" s="3">
        <v>0</v>
      </c>
      <c r="J35" s="3">
        <v>0</v>
      </c>
      <c r="K35" s="3">
        <v>0.46600000000000003</v>
      </c>
      <c r="L35" s="3">
        <v>0</v>
      </c>
      <c r="M35" s="3">
        <v>0</v>
      </c>
      <c r="N35" s="3">
        <v>0</v>
      </c>
      <c r="O35" s="3">
        <v>2.9948000000000001</v>
      </c>
      <c r="P35" s="3">
        <v>0</v>
      </c>
      <c r="Q35" s="3">
        <v>4.5473999999999997</v>
      </c>
      <c r="R35" s="3">
        <v>85.704999999999998</v>
      </c>
      <c r="S35" s="3">
        <v>22.713000000000001</v>
      </c>
      <c r="T35" s="2"/>
      <c r="U35" s="2"/>
      <c r="V35" s="3"/>
      <c r="W35" s="2"/>
      <c r="X35" s="3">
        <v>33.183</v>
      </c>
      <c r="Y35" s="3">
        <v>19.541</v>
      </c>
      <c r="Z35" s="4">
        <v>35.9681</v>
      </c>
      <c r="AA35" s="4">
        <f t="shared" si="1"/>
        <v>19.541</v>
      </c>
    </row>
    <row r="36" spans="1:27" ht="16" x14ac:dyDescent="0.2">
      <c r="A36" s="3" t="s">
        <v>43</v>
      </c>
      <c r="B36" s="3" t="s">
        <v>3</v>
      </c>
      <c r="C36" s="3">
        <v>92</v>
      </c>
      <c r="D36" s="3" t="s">
        <v>44</v>
      </c>
      <c r="E36" s="3">
        <v>1.47</v>
      </c>
      <c r="F36" s="3">
        <v>4.54</v>
      </c>
      <c r="G36" s="3">
        <f t="shared" si="0"/>
        <v>31.3022104</v>
      </c>
      <c r="H36" s="3">
        <v>8.1820000000000004</v>
      </c>
      <c r="I36" s="3">
        <v>0</v>
      </c>
      <c r="J36" s="3">
        <v>2.7799999999999998E-2</v>
      </c>
      <c r="K36" s="3">
        <v>0.65049999999999997</v>
      </c>
      <c r="L36" s="3">
        <v>9.6500000000000002E-2</v>
      </c>
      <c r="M36" s="3">
        <v>0</v>
      </c>
      <c r="N36" s="3">
        <v>0</v>
      </c>
      <c r="O36" s="3">
        <v>3.7578999999999998</v>
      </c>
      <c r="P36" s="3">
        <v>2E-3</v>
      </c>
      <c r="Q36" s="3">
        <v>9.0139999999999993</v>
      </c>
      <c r="R36" s="3">
        <v>69.55</v>
      </c>
      <c r="S36" s="3">
        <v>28.954000000000001</v>
      </c>
      <c r="T36" s="2"/>
      <c r="U36" s="2"/>
      <c r="V36" s="3"/>
      <c r="W36" s="2"/>
      <c r="X36" s="3">
        <v>49.338000000000001</v>
      </c>
      <c r="Y36" s="3">
        <v>25.782</v>
      </c>
      <c r="Z36" s="4">
        <v>56.942999999999998</v>
      </c>
      <c r="AA36" s="4">
        <f t="shared" si="1"/>
        <v>25.657699999999998</v>
      </c>
    </row>
    <row r="37" spans="1:27" ht="16" x14ac:dyDescent="0.2">
      <c r="A37" s="3" t="s">
        <v>43</v>
      </c>
      <c r="B37" s="3" t="s">
        <v>3</v>
      </c>
      <c r="C37" s="3">
        <v>117</v>
      </c>
      <c r="D37" s="3" t="s">
        <v>44</v>
      </c>
      <c r="E37" s="3">
        <v>1.5</v>
      </c>
      <c r="F37" s="3">
        <v>4.4800000000000004</v>
      </c>
      <c r="G37" s="3">
        <f t="shared" si="0"/>
        <v>30.888524800000003</v>
      </c>
      <c r="H37" s="3">
        <v>9.6323000000000008</v>
      </c>
      <c r="I37" s="3">
        <v>0</v>
      </c>
      <c r="J37" s="3">
        <v>0.2117</v>
      </c>
      <c r="K37" s="3">
        <v>0.83819999999999995</v>
      </c>
      <c r="L37" s="3">
        <v>0.40229999999999999</v>
      </c>
      <c r="M37" s="3">
        <v>0</v>
      </c>
      <c r="N37" s="3">
        <v>0</v>
      </c>
      <c r="O37" s="3">
        <v>4.335</v>
      </c>
      <c r="P37" s="3">
        <v>9.7500000000000003E-2</v>
      </c>
      <c r="Q37" s="3">
        <v>13.212199999999999</v>
      </c>
      <c r="R37" s="3">
        <v>61.07</v>
      </c>
      <c r="S37" s="3">
        <v>27.201000000000001</v>
      </c>
      <c r="T37" s="3">
        <v>2.0710000000000002</v>
      </c>
      <c r="U37" s="3">
        <v>0</v>
      </c>
      <c r="V37" s="3"/>
      <c r="W37" s="2"/>
      <c r="X37" s="3">
        <v>57.817999999999998</v>
      </c>
      <c r="Y37" s="3">
        <v>24.029</v>
      </c>
      <c r="Z37" s="4">
        <v>78.069000000000003</v>
      </c>
      <c r="AA37" s="4">
        <f t="shared" si="1"/>
        <v>23.414999999999999</v>
      </c>
    </row>
    <row r="38" spans="1:27" ht="16" x14ac:dyDescent="0.2">
      <c r="A38" s="3" t="s">
        <v>43</v>
      </c>
      <c r="B38" s="3" t="s">
        <v>3</v>
      </c>
      <c r="C38" s="3">
        <v>142</v>
      </c>
      <c r="D38" s="3" t="s">
        <v>44</v>
      </c>
      <c r="E38" s="3">
        <v>1.5</v>
      </c>
      <c r="F38" s="3">
        <v>4.66</v>
      </c>
      <c r="G38" s="3">
        <f t="shared" si="0"/>
        <v>32.129581600000002</v>
      </c>
      <c r="H38" s="3">
        <v>12.007199999999999</v>
      </c>
      <c r="I38" s="3">
        <v>0.85140000000000005</v>
      </c>
      <c r="J38" s="3">
        <v>0.7944</v>
      </c>
      <c r="K38" s="3">
        <v>1.3675999999999999</v>
      </c>
      <c r="L38" s="3">
        <v>0.93489999999999995</v>
      </c>
      <c r="M38" s="3">
        <v>0</v>
      </c>
      <c r="N38" s="3">
        <v>0.15509999999999999</v>
      </c>
      <c r="O38" s="3">
        <v>5.1119000000000003</v>
      </c>
      <c r="P38" s="3">
        <v>0.23430000000000001</v>
      </c>
      <c r="Q38" s="3">
        <v>15.4694</v>
      </c>
      <c r="R38" s="3">
        <v>50.755000000000003</v>
      </c>
      <c r="S38" s="3">
        <v>28.986999999999998</v>
      </c>
      <c r="T38" s="2"/>
      <c r="U38" s="2"/>
      <c r="V38" s="3"/>
      <c r="W38" s="2"/>
      <c r="X38" s="3">
        <v>68.132999999999996</v>
      </c>
      <c r="Y38" s="3">
        <v>25.815000000000001</v>
      </c>
      <c r="Z38" s="4">
        <v>95.549499999999995</v>
      </c>
      <c r="AA38" s="4">
        <f t="shared" si="1"/>
        <v>23.0792</v>
      </c>
    </row>
    <row r="39" spans="1:27" ht="16" x14ac:dyDescent="0.2">
      <c r="A39" s="3" t="s">
        <v>43</v>
      </c>
      <c r="B39" s="3" t="s">
        <v>3</v>
      </c>
      <c r="C39" s="3">
        <v>168</v>
      </c>
      <c r="D39" s="3" t="s">
        <v>44</v>
      </c>
      <c r="E39" s="3">
        <v>1.46</v>
      </c>
      <c r="F39" s="3">
        <v>4.66</v>
      </c>
      <c r="G39" s="3">
        <f t="shared" si="0"/>
        <v>32.129581600000002</v>
      </c>
      <c r="H39" s="3">
        <v>11.462199999999999</v>
      </c>
      <c r="I39" s="3">
        <v>0.48580000000000001</v>
      </c>
      <c r="J39" s="3">
        <v>0.75149999999999995</v>
      </c>
      <c r="K39" s="3">
        <v>1.3486</v>
      </c>
      <c r="L39" s="3">
        <v>0.88800000000000001</v>
      </c>
      <c r="M39" s="3">
        <v>0</v>
      </c>
      <c r="N39" s="3">
        <v>0.1648</v>
      </c>
      <c r="O39" s="3">
        <v>4.7736000000000001</v>
      </c>
      <c r="P39" s="3">
        <v>0.21029999999999999</v>
      </c>
      <c r="Q39" s="3">
        <v>15.2387</v>
      </c>
      <c r="R39" s="3">
        <v>47.128</v>
      </c>
      <c r="S39" s="3">
        <v>31.716999999999999</v>
      </c>
      <c r="T39" s="2"/>
      <c r="U39" s="2"/>
      <c r="V39" s="3"/>
      <c r="W39" s="2"/>
      <c r="X39" s="3">
        <v>71.760000000000005</v>
      </c>
      <c r="Y39" s="3">
        <v>28.545000000000002</v>
      </c>
      <c r="Z39" s="4">
        <v>92.520799999999994</v>
      </c>
      <c r="AA39" s="4">
        <f t="shared" si="1"/>
        <v>26.254900000000003</v>
      </c>
    </row>
    <row r="40" spans="1:27" ht="16" x14ac:dyDescent="0.2">
      <c r="A40" s="3" t="s">
        <v>43</v>
      </c>
      <c r="B40" s="3" t="s">
        <v>3</v>
      </c>
      <c r="C40" s="3">
        <v>190</v>
      </c>
      <c r="D40" s="3" t="s">
        <v>44</v>
      </c>
      <c r="E40" s="3">
        <v>1.42</v>
      </c>
      <c r="F40" s="3">
        <v>4.54</v>
      </c>
      <c r="G40" s="3">
        <f t="shared" si="0"/>
        <v>31.3022104</v>
      </c>
      <c r="H40" s="3">
        <v>12.819100000000001</v>
      </c>
      <c r="I40" s="3">
        <v>0.88239999999999996</v>
      </c>
      <c r="J40" s="3">
        <v>0.90439999999999998</v>
      </c>
      <c r="K40" s="3">
        <v>1.6471</v>
      </c>
      <c r="L40" s="3">
        <v>1.1052</v>
      </c>
      <c r="M40" s="3">
        <v>0</v>
      </c>
      <c r="N40" s="3">
        <v>0.19020000000000001</v>
      </c>
      <c r="O40" s="3">
        <v>5.5923999999999996</v>
      </c>
      <c r="P40" s="3">
        <v>0.31569999999999998</v>
      </c>
      <c r="Q40" s="3">
        <v>17.596599999999999</v>
      </c>
      <c r="R40" s="3">
        <v>44.709000000000003</v>
      </c>
      <c r="S40" s="3">
        <v>32.78</v>
      </c>
      <c r="T40" s="3">
        <v>2.2429999999999999</v>
      </c>
      <c r="U40" s="3">
        <v>4.2560000000000002</v>
      </c>
      <c r="V40" s="3"/>
      <c r="W40" s="2"/>
      <c r="X40" s="3">
        <v>74.179000000000002</v>
      </c>
      <c r="Y40" s="3">
        <v>29.608000000000001</v>
      </c>
      <c r="Z40" s="4">
        <v>107.49639999999999</v>
      </c>
      <c r="AA40" s="4">
        <f t="shared" si="1"/>
        <v>26.5258</v>
      </c>
    </row>
    <row r="41" spans="1:27" s="10" customFormat="1" ht="16" x14ac:dyDescent="0.2">
      <c r="A41" s="6" t="s">
        <v>43</v>
      </c>
      <c r="B41" s="6" t="s">
        <v>3</v>
      </c>
      <c r="C41" s="6">
        <v>240</v>
      </c>
      <c r="D41" s="6" t="s">
        <v>44</v>
      </c>
      <c r="E41" s="6">
        <v>1.31</v>
      </c>
      <c r="F41" s="7"/>
      <c r="G41" s="3"/>
      <c r="H41" s="6">
        <v>14.4834</v>
      </c>
      <c r="I41" s="6">
        <v>0.70430000000000004</v>
      </c>
      <c r="J41" s="6">
        <v>1.0149999999999999</v>
      </c>
      <c r="K41" s="6">
        <v>1.9034</v>
      </c>
      <c r="L41" s="6">
        <v>1.3202</v>
      </c>
      <c r="M41" s="6">
        <v>1.3599999999999999E-2</v>
      </c>
      <c r="N41" s="6">
        <v>0.2417</v>
      </c>
      <c r="O41" s="6">
        <v>6.2196999999999996</v>
      </c>
      <c r="P41" s="6">
        <v>0.40739999999999998</v>
      </c>
      <c r="Q41" s="6">
        <v>19.857399999999998</v>
      </c>
      <c r="R41" s="6">
        <v>41.412999999999997</v>
      </c>
      <c r="S41" s="6">
        <v>49.076999999999998</v>
      </c>
      <c r="T41" s="6">
        <v>2.681</v>
      </c>
      <c r="U41" s="6">
        <v>6.1859999999999999</v>
      </c>
      <c r="V41" s="6">
        <v>2.431</v>
      </c>
      <c r="W41" s="6">
        <v>7.29</v>
      </c>
      <c r="X41" s="6">
        <v>77.474999999999994</v>
      </c>
      <c r="Y41" s="6">
        <v>45.905000000000001</v>
      </c>
      <c r="Z41" s="11">
        <v>123.5822</v>
      </c>
      <c r="AA41" s="11">
        <f t="shared" si="1"/>
        <v>42.610199999999999</v>
      </c>
    </row>
    <row r="42" spans="1:27" ht="16" x14ac:dyDescent="0.2">
      <c r="A42" s="3" t="s">
        <v>43</v>
      </c>
      <c r="B42" s="3" t="s">
        <v>3</v>
      </c>
      <c r="C42" s="3">
        <v>0</v>
      </c>
      <c r="D42" s="3" t="s">
        <v>45</v>
      </c>
      <c r="E42" s="3">
        <v>5.0000000000000001E-3</v>
      </c>
      <c r="F42" s="3">
        <v>0.5</v>
      </c>
      <c r="G42" s="3">
        <f t="shared" si="0"/>
        <v>3.4473799999999999</v>
      </c>
      <c r="H42" s="3">
        <v>0.53559999999999997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116.974</v>
      </c>
      <c r="S42" s="3">
        <v>3.2829999999999999</v>
      </c>
      <c r="T42" s="3">
        <v>0</v>
      </c>
      <c r="U42" s="3">
        <v>0</v>
      </c>
      <c r="V42" s="3"/>
      <c r="W42" s="3">
        <v>6.29</v>
      </c>
      <c r="X42" s="3">
        <v>0</v>
      </c>
      <c r="Y42" s="3">
        <v>0</v>
      </c>
      <c r="Z42" s="4">
        <v>0.53559999999999997</v>
      </c>
      <c r="AA42" s="4">
        <f t="shared" si="1"/>
        <v>0</v>
      </c>
    </row>
    <row r="43" spans="1:27" ht="16" x14ac:dyDescent="0.2">
      <c r="A43" s="3" t="s">
        <v>43</v>
      </c>
      <c r="B43" s="3" t="s">
        <v>3</v>
      </c>
      <c r="C43" s="3">
        <v>21</v>
      </c>
      <c r="D43" s="3" t="s">
        <v>45</v>
      </c>
      <c r="E43" s="3">
        <v>5.6000000000000001E-2</v>
      </c>
      <c r="F43" s="3">
        <v>0.82</v>
      </c>
      <c r="G43" s="3">
        <f t="shared" si="0"/>
        <v>5.6537031999999998</v>
      </c>
      <c r="H43" s="3">
        <v>1.3568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9.2200000000000004E-2</v>
      </c>
      <c r="P43" s="3">
        <v>0</v>
      </c>
      <c r="Q43" s="3">
        <v>0</v>
      </c>
      <c r="R43" s="3">
        <v>116.143</v>
      </c>
      <c r="S43" s="3">
        <v>4.0389999999999997</v>
      </c>
      <c r="T43" s="2"/>
      <c r="U43" s="2"/>
      <c r="V43" s="3"/>
      <c r="W43" s="2"/>
      <c r="X43" s="3">
        <v>0.83099999999999996</v>
      </c>
      <c r="Y43" s="3">
        <v>0.75600000000000001</v>
      </c>
      <c r="Z43" s="4">
        <v>1.6334</v>
      </c>
      <c r="AA43" s="4">
        <f t="shared" si="1"/>
        <v>0.75600000000000001</v>
      </c>
    </row>
    <row r="44" spans="1:27" ht="16" x14ac:dyDescent="0.2">
      <c r="A44" s="3" t="s">
        <v>43</v>
      </c>
      <c r="B44" s="3" t="s">
        <v>3</v>
      </c>
      <c r="C44" s="3">
        <v>45</v>
      </c>
      <c r="D44" s="3" t="s">
        <v>45</v>
      </c>
      <c r="E44" s="3">
        <v>0.42</v>
      </c>
      <c r="F44" s="3">
        <v>2.2999999999999998</v>
      </c>
      <c r="G44" s="3">
        <f t="shared" si="0"/>
        <v>15.857947999999999</v>
      </c>
      <c r="H44" s="3">
        <v>5.7365000000000004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1.2525999999999999</v>
      </c>
      <c r="P44" s="3">
        <v>0</v>
      </c>
      <c r="Q44" s="3">
        <v>0.1207</v>
      </c>
      <c r="R44" s="3">
        <v>107.699</v>
      </c>
      <c r="S44" s="3">
        <v>11.271000000000001</v>
      </c>
      <c r="T44" s="2"/>
      <c r="U44" s="2"/>
      <c r="V44" s="3"/>
      <c r="W44" s="2"/>
      <c r="X44" s="3">
        <v>9.2750000000000004</v>
      </c>
      <c r="Y44" s="3">
        <v>7.9880000000000004</v>
      </c>
      <c r="Z44" s="4">
        <v>9.9771000000000001</v>
      </c>
      <c r="AA44" s="4">
        <f t="shared" si="1"/>
        <v>7.9880000000000004</v>
      </c>
    </row>
    <row r="45" spans="1:27" ht="16" x14ac:dyDescent="0.2">
      <c r="A45" s="3" t="s">
        <v>43</v>
      </c>
      <c r="B45" s="3" t="s">
        <v>3</v>
      </c>
      <c r="C45" s="3">
        <v>69</v>
      </c>
      <c r="D45" s="3" t="s">
        <v>45</v>
      </c>
      <c r="E45" s="3">
        <v>0.99</v>
      </c>
      <c r="F45" s="3">
        <v>3.94</v>
      </c>
      <c r="G45" s="3">
        <f t="shared" si="0"/>
        <v>27.165354399999998</v>
      </c>
      <c r="H45" s="3">
        <v>7.7024999999999997</v>
      </c>
      <c r="I45" s="3">
        <v>0</v>
      </c>
      <c r="J45" s="3">
        <v>6.3E-3</v>
      </c>
      <c r="K45" s="3">
        <v>0.48530000000000001</v>
      </c>
      <c r="L45" s="3">
        <v>0</v>
      </c>
      <c r="M45" s="3">
        <v>0</v>
      </c>
      <c r="N45" s="3">
        <v>0</v>
      </c>
      <c r="O45" s="3">
        <v>2.9843999999999999</v>
      </c>
      <c r="P45" s="3">
        <v>0</v>
      </c>
      <c r="Q45" s="3">
        <v>4.5865999999999998</v>
      </c>
      <c r="R45" s="3">
        <v>87.087999999999994</v>
      </c>
      <c r="S45" s="3">
        <v>21.373000000000001</v>
      </c>
      <c r="T45" s="2"/>
      <c r="U45" s="2"/>
      <c r="V45" s="3"/>
      <c r="W45" s="2"/>
      <c r="X45" s="3">
        <v>29.885999999999999</v>
      </c>
      <c r="Y45" s="3">
        <v>18.09</v>
      </c>
      <c r="Z45" s="4">
        <v>35.978999999999999</v>
      </c>
      <c r="AA45" s="4">
        <f t="shared" si="1"/>
        <v>18.0837</v>
      </c>
    </row>
    <row r="46" spans="1:27" ht="16" x14ac:dyDescent="0.2">
      <c r="A46" s="3" t="s">
        <v>43</v>
      </c>
      <c r="B46" s="3" t="s">
        <v>3</v>
      </c>
      <c r="C46" s="3">
        <v>92</v>
      </c>
      <c r="D46" s="3" t="s">
        <v>45</v>
      </c>
      <c r="E46" s="3">
        <v>1.39</v>
      </c>
      <c r="F46" s="3">
        <v>4.34</v>
      </c>
      <c r="G46" s="3">
        <f t="shared" si="0"/>
        <v>29.923258399999998</v>
      </c>
      <c r="H46" s="3">
        <v>8.4328000000000003</v>
      </c>
      <c r="I46" s="3">
        <v>0</v>
      </c>
      <c r="J46" s="3">
        <v>0</v>
      </c>
      <c r="K46" s="3">
        <v>0.7329</v>
      </c>
      <c r="L46" s="3">
        <v>4.1200000000000001E-2</v>
      </c>
      <c r="M46" s="3">
        <v>0</v>
      </c>
      <c r="N46" s="3">
        <v>0</v>
      </c>
      <c r="O46" s="3">
        <v>3.8214000000000001</v>
      </c>
      <c r="P46" s="3">
        <v>1.2200000000000001E-2</v>
      </c>
      <c r="Q46" s="3">
        <v>9.5837000000000003</v>
      </c>
      <c r="R46" s="3">
        <v>70.558000000000007</v>
      </c>
      <c r="S46" s="3">
        <v>28.518999999999998</v>
      </c>
      <c r="T46" s="2"/>
      <c r="U46" s="2"/>
      <c r="V46" s="3"/>
      <c r="W46" s="2"/>
      <c r="X46" s="3">
        <v>46.415999999999997</v>
      </c>
      <c r="Y46" s="3">
        <v>25.236000000000001</v>
      </c>
      <c r="Z46" s="4">
        <v>59.775399999999998</v>
      </c>
      <c r="AA46" s="4">
        <f t="shared" si="1"/>
        <v>25.194800000000001</v>
      </c>
    </row>
    <row r="47" spans="1:27" ht="16" x14ac:dyDescent="0.2">
      <c r="A47" s="3" t="s">
        <v>43</v>
      </c>
      <c r="B47" s="3" t="s">
        <v>3</v>
      </c>
      <c r="C47" s="3">
        <v>117</v>
      </c>
      <c r="D47" s="3" t="s">
        <v>45</v>
      </c>
      <c r="E47" s="3">
        <v>1.5</v>
      </c>
      <c r="F47" s="3">
        <v>4.42</v>
      </c>
      <c r="G47" s="3">
        <f t="shared" si="0"/>
        <v>30.474839199999998</v>
      </c>
      <c r="H47" s="3">
        <v>9.2956000000000003</v>
      </c>
      <c r="I47" s="3">
        <v>0</v>
      </c>
      <c r="J47" s="3">
        <v>0.18509999999999999</v>
      </c>
      <c r="K47" s="3">
        <v>0.82340000000000002</v>
      </c>
      <c r="L47" s="3">
        <v>0.32140000000000002</v>
      </c>
      <c r="M47" s="3">
        <v>0</v>
      </c>
      <c r="N47" s="3">
        <v>2.9999999999999997E-4</v>
      </c>
      <c r="O47" s="3">
        <v>4.3418999999999999</v>
      </c>
      <c r="P47" s="3">
        <v>0.13439999999999999</v>
      </c>
      <c r="Q47" s="3">
        <v>13.146100000000001</v>
      </c>
      <c r="R47" s="3">
        <v>59.585000000000001</v>
      </c>
      <c r="S47" s="3">
        <v>32.097999999999999</v>
      </c>
      <c r="T47" s="3">
        <v>1.8560000000000001</v>
      </c>
      <c r="U47" s="3">
        <v>0</v>
      </c>
      <c r="V47" s="3"/>
      <c r="W47" s="2"/>
      <c r="X47" s="3">
        <v>57.389000000000003</v>
      </c>
      <c r="Y47" s="3">
        <v>28.815000000000001</v>
      </c>
      <c r="Z47" s="4">
        <v>77.462800000000001</v>
      </c>
      <c r="AA47" s="4">
        <f t="shared" si="1"/>
        <v>28.308200000000003</v>
      </c>
    </row>
    <row r="48" spans="1:27" ht="16" x14ac:dyDescent="0.2">
      <c r="A48" s="3" t="s">
        <v>43</v>
      </c>
      <c r="B48" s="3" t="s">
        <v>3</v>
      </c>
      <c r="C48" s="3">
        <v>142</v>
      </c>
      <c r="D48" s="3" t="s">
        <v>45</v>
      </c>
      <c r="E48" s="3">
        <v>1.45</v>
      </c>
      <c r="F48" s="3">
        <v>4.66</v>
      </c>
      <c r="G48" s="3">
        <f t="shared" si="0"/>
        <v>32.129581600000002</v>
      </c>
      <c r="H48" s="3">
        <v>13.0143</v>
      </c>
      <c r="I48" s="3">
        <v>0.76670000000000005</v>
      </c>
      <c r="J48" s="3">
        <v>0.88009999999999999</v>
      </c>
      <c r="K48" s="3">
        <v>1.5427</v>
      </c>
      <c r="L48" s="3">
        <v>1.0343</v>
      </c>
      <c r="M48" s="3">
        <v>0</v>
      </c>
      <c r="N48" s="3">
        <v>0.18590000000000001</v>
      </c>
      <c r="O48" s="3">
        <v>5.4661999999999997</v>
      </c>
      <c r="P48" s="3">
        <v>0.29160000000000003</v>
      </c>
      <c r="Q48" s="3">
        <v>16.908899999999999</v>
      </c>
      <c r="R48" s="3">
        <v>49.798000000000002</v>
      </c>
      <c r="S48" s="3">
        <v>31.298999999999999</v>
      </c>
      <c r="T48" s="2"/>
      <c r="U48" s="2"/>
      <c r="V48" s="3"/>
      <c r="W48" s="2"/>
      <c r="X48" s="3">
        <v>67.176000000000002</v>
      </c>
      <c r="Y48" s="3">
        <v>28.015999999999998</v>
      </c>
      <c r="Z48" s="4">
        <v>104.0616</v>
      </c>
      <c r="AA48" s="4">
        <f t="shared" si="1"/>
        <v>25.148999999999997</v>
      </c>
    </row>
    <row r="49" spans="1:27" ht="16" x14ac:dyDescent="0.2">
      <c r="A49" s="3" t="s">
        <v>43</v>
      </c>
      <c r="B49" s="3" t="s">
        <v>3</v>
      </c>
      <c r="C49" s="3">
        <v>168</v>
      </c>
      <c r="D49" s="3" t="s">
        <v>45</v>
      </c>
      <c r="E49" s="3">
        <v>1.45</v>
      </c>
      <c r="F49" s="3">
        <v>4.7</v>
      </c>
      <c r="G49" s="3">
        <f t="shared" si="0"/>
        <v>32.405372</v>
      </c>
      <c r="H49" s="3">
        <v>12.9915</v>
      </c>
      <c r="I49" s="3">
        <v>0.61499999999999999</v>
      </c>
      <c r="J49" s="3">
        <v>0.9395</v>
      </c>
      <c r="K49" s="3">
        <v>1.6189</v>
      </c>
      <c r="L49" s="3">
        <v>1.1134999999999999</v>
      </c>
      <c r="M49" s="3">
        <v>0</v>
      </c>
      <c r="N49" s="3">
        <v>0.20180000000000001</v>
      </c>
      <c r="O49" s="3">
        <v>5.7137000000000002</v>
      </c>
      <c r="P49" s="3">
        <v>0.33860000000000001</v>
      </c>
      <c r="Q49" s="3">
        <v>18.185099999999998</v>
      </c>
      <c r="R49" s="3">
        <v>45.805999999999997</v>
      </c>
      <c r="S49" s="3">
        <v>31.841000000000001</v>
      </c>
      <c r="T49" s="2"/>
      <c r="U49" s="2"/>
      <c r="V49" s="3"/>
      <c r="W49" s="2"/>
      <c r="X49" s="3">
        <v>71.168000000000006</v>
      </c>
      <c r="Y49" s="3">
        <v>28.558</v>
      </c>
      <c r="Z49" s="4">
        <v>110.1982</v>
      </c>
      <c r="AA49" s="4">
        <f t="shared" si="1"/>
        <v>25.688200000000002</v>
      </c>
    </row>
    <row r="50" spans="1:27" ht="16" x14ac:dyDescent="0.2">
      <c r="A50" s="3" t="s">
        <v>43</v>
      </c>
      <c r="B50" s="3" t="s">
        <v>3</v>
      </c>
      <c r="C50" s="3">
        <v>190</v>
      </c>
      <c r="D50" s="3" t="s">
        <v>45</v>
      </c>
      <c r="E50" s="3">
        <v>1.45</v>
      </c>
      <c r="F50" s="3">
        <v>4.5999999999999996</v>
      </c>
      <c r="G50" s="3">
        <f t="shared" si="0"/>
        <v>31.715895999999997</v>
      </c>
      <c r="H50" s="3">
        <v>12.8703</v>
      </c>
      <c r="I50" s="3">
        <v>0.72609999999999997</v>
      </c>
      <c r="J50" s="3">
        <v>0.96740000000000004</v>
      </c>
      <c r="K50" s="3">
        <v>1.671</v>
      </c>
      <c r="L50" s="3">
        <v>1.1176999999999999</v>
      </c>
      <c r="M50" s="3">
        <v>0</v>
      </c>
      <c r="N50" s="3">
        <v>0.22670000000000001</v>
      </c>
      <c r="O50" s="3">
        <v>5.7374999999999998</v>
      </c>
      <c r="P50" s="3">
        <v>0.35199999999999998</v>
      </c>
      <c r="Q50" s="3">
        <v>18.753399999999999</v>
      </c>
      <c r="R50" s="3">
        <v>43.073999999999998</v>
      </c>
      <c r="S50" s="3">
        <v>33.176000000000002</v>
      </c>
      <c r="T50" s="3">
        <v>2.1339999999999999</v>
      </c>
      <c r="U50" s="3">
        <v>4.1760000000000002</v>
      </c>
      <c r="V50" s="3"/>
      <c r="W50" s="2"/>
      <c r="X50" s="3">
        <v>73.900000000000006</v>
      </c>
      <c r="Y50" s="3">
        <v>29.893000000000001</v>
      </c>
      <c r="Z50" s="4">
        <v>112.759</v>
      </c>
      <c r="AA50" s="4">
        <f t="shared" si="1"/>
        <v>26.8551</v>
      </c>
    </row>
    <row r="51" spans="1:27" s="10" customFormat="1" ht="16" x14ac:dyDescent="0.2">
      <c r="A51" s="6" t="s">
        <v>43</v>
      </c>
      <c r="B51" s="6" t="s">
        <v>3</v>
      </c>
      <c r="C51" s="6">
        <v>240</v>
      </c>
      <c r="D51" s="6" t="s">
        <v>45</v>
      </c>
      <c r="E51" s="6">
        <v>1.28</v>
      </c>
      <c r="F51" s="7"/>
      <c r="G51" s="3"/>
      <c r="H51" s="6">
        <v>14.2682</v>
      </c>
      <c r="I51" s="6">
        <v>0.80559999999999998</v>
      </c>
      <c r="J51" s="6">
        <v>1.0167999999999999</v>
      </c>
      <c r="K51" s="6">
        <v>1.8249</v>
      </c>
      <c r="L51" s="6">
        <v>1.2369000000000001</v>
      </c>
      <c r="M51" s="6">
        <v>1.38E-2</v>
      </c>
      <c r="N51" s="6">
        <v>0.19969999999999999</v>
      </c>
      <c r="O51" s="6">
        <v>5.9142000000000001</v>
      </c>
      <c r="P51" s="6">
        <v>0.40539999999999998</v>
      </c>
      <c r="Q51" s="6">
        <v>19.0124</v>
      </c>
      <c r="R51" s="6">
        <v>37.871000000000002</v>
      </c>
      <c r="S51" s="6">
        <v>44.765999999999998</v>
      </c>
      <c r="T51" s="6">
        <v>2.6779999999999999</v>
      </c>
      <c r="U51" s="6">
        <v>5.8419999999999996</v>
      </c>
      <c r="V51" s="6">
        <v>2.2639999999999998</v>
      </c>
      <c r="W51" s="6">
        <v>7.27</v>
      </c>
      <c r="X51" s="6">
        <v>79.102999999999994</v>
      </c>
      <c r="Y51" s="6">
        <v>41.482999999999997</v>
      </c>
      <c r="Z51" s="11">
        <v>118.6767</v>
      </c>
      <c r="AA51" s="11">
        <f t="shared" si="1"/>
        <v>38.2102</v>
      </c>
    </row>
    <row r="52" spans="1:27" ht="16" x14ac:dyDescent="0.2">
      <c r="A52" s="3" t="s">
        <v>43</v>
      </c>
      <c r="B52" s="3" t="s">
        <v>3</v>
      </c>
      <c r="C52" s="3">
        <v>0</v>
      </c>
      <c r="D52" s="3" t="s">
        <v>46</v>
      </c>
      <c r="E52" s="3">
        <v>6.0000000000000001E-3</v>
      </c>
      <c r="F52" s="3">
        <v>0.5</v>
      </c>
      <c r="G52" s="3">
        <f t="shared" si="0"/>
        <v>3.4473799999999999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120.26</v>
      </c>
      <c r="S52" s="3">
        <v>3.2309999999999999</v>
      </c>
      <c r="T52" s="3">
        <v>0</v>
      </c>
      <c r="U52" s="3">
        <v>0</v>
      </c>
      <c r="V52" s="3"/>
      <c r="W52" s="3">
        <v>6.29</v>
      </c>
      <c r="X52" s="3">
        <v>0</v>
      </c>
      <c r="Y52" s="3">
        <v>0</v>
      </c>
      <c r="Z52" s="4">
        <v>0</v>
      </c>
      <c r="AA52" s="4">
        <f t="shared" si="1"/>
        <v>0</v>
      </c>
    </row>
    <row r="53" spans="1:27" ht="16" x14ac:dyDescent="0.2">
      <c r="A53" s="3" t="s">
        <v>43</v>
      </c>
      <c r="B53" s="3" t="s">
        <v>3</v>
      </c>
      <c r="C53" s="3">
        <v>21</v>
      </c>
      <c r="D53" s="3" t="s">
        <v>46</v>
      </c>
      <c r="E53" s="3">
        <v>0.06</v>
      </c>
      <c r="F53" s="3">
        <v>0.9</v>
      </c>
      <c r="G53" s="3">
        <f t="shared" si="0"/>
        <v>6.2052839999999998</v>
      </c>
      <c r="H53" s="3">
        <v>1.1257999999999999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0.1363</v>
      </c>
      <c r="P53" s="3">
        <v>0</v>
      </c>
      <c r="Q53" s="3">
        <v>0</v>
      </c>
      <c r="R53" s="3">
        <v>117.083</v>
      </c>
      <c r="S53" s="3">
        <v>4.1980000000000004</v>
      </c>
      <c r="T53" s="2"/>
      <c r="U53" s="2"/>
      <c r="V53" s="3"/>
      <c r="W53" s="2"/>
      <c r="X53" s="3">
        <v>3.177</v>
      </c>
      <c r="Y53" s="3">
        <v>0.96699999999999997</v>
      </c>
      <c r="Z53" s="4">
        <v>1.5347</v>
      </c>
      <c r="AA53" s="4">
        <f t="shared" si="1"/>
        <v>0.96699999999999997</v>
      </c>
    </row>
    <row r="54" spans="1:27" ht="16" x14ac:dyDescent="0.2">
      <c r="A54" s="3" t="s">
        <v>43</v>
      </c>
      <c r="B54" s="3" t="s">
        <v>3</v>
      </c>
      <c r="C54" s="3">
        <v>45</v>
      </c>
      <c r="D54" s="3" t="s">
        <v>46</v>
      </c>
      <c r="E54" s="3">
        <v>0.4</v>
      </c>
      <c r="F54" s="3">
        <v>2.2599999999999998</v>
      </c>
      <c r="G54" s="3">
        <f t="shared" si="0"/>
        <v>15.582157599999999</v>
      </c>
      <c r="H54" s="3">
        <v>6.2317999999999998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1.3729</v>
      </c>
      <c r="P54" s="3">
        <v>0</v>
      </c>
      <c r="Q54" s="3">
        <v>6.5100000000000005E-2</v>
      </c>
      <c r="R54" s="3">
        <v>108.458</v>
      </c>
      <c r="S54" s="3">
        <v>9.8049999999999997</v>
      </c>
      <c r="T54" s="2"/>
      <c r="U54" s="2"/>
      <c r="V54" s="3"/>
      <c r="W54" s="2"/>
      <c r="X54" s="3">
        <v>11.802</v>
      </c>
      <c r="Y54" s="3">
        <v>6.5739999999999998</v>
      </c>
      <c r="Z54" s="4">
        <v>10.610900000000001</v>
      </c>
      <c r="AA54" s="4">
        <f t="shared" si="1"/>
        <v>6.5739999999999998</v>
      </c>
    </row>
    <row r="55" spans="1:27" ht="16" x14ac:dyDescent="0.2">
      <c r="A55" s="3" t="s">
        <v>43</v>
      </c>
      <c r="B55" s="3" t="s">
        <v>3</v>
      </c>
      <c r="C55" s="3">
        <v>69</v>
      </c>
      <c r="D55" s="3" t="s">
        <v>46</v>
      </c>
      <c r="E55" s="3">
        <v>1</v>
      </c>
      <c r="F55" s="3">
        <v>4.2</v>
      </c>
      <c r="G55" s="3">
        <f t="shared" si="0"/>
        <v>28.957992000000001</v>
      </c>
      <c r="H55" s="3">
        <v>8.9666999999999994</v>
      </c>
      <c r="I55" s="3">
        <v>0</v>
      </c>
      <c r="J55" s="3">
        <v>5.6500000000000002E-2</v>
      </c>
      <c r="K55" s="3">
        <v>0.5575</v>
      </c>
      <c r="L55" s="3">
        <v>0</v>
      </c>
      <c r="M55" s="3">
        <v>0</v>
      </c>
      <c r="N55" s="3">
        <v>0</v>
      </c>
      <c r="O55" s="3">
        <v>3.2444999999999999</v>
      </c>
      <c r="P55" s="3">
        <v>0</v>
      </c>
      <c r="Q55" s="3">
        <v>4.3967000000000001</v>
      </c>
      <c r="R55" s="3">
        <v>90.524000000000001</v>
      </c>
      <c r="S55" s="3">
        <v>20.401</v>
      </c>
      <c r="T55" s="2"/>
      <c r="U55" s="2"/>
      <c r="V55" s="3"/>
      <c r="W55" s="2"/>
      <c r="X55" s="3">
        <v>29.736000000000001</v>
      </c>
      <c r="Y55" s="3">
        <v>17.170000000000002</v>
      </c>
      <c r="Z55" s="4">
        <v>37.458500000000001</v>
      </c>
      <c r="AA55" s="4">
        <f t="shared" si="1"/>
        <v>17.113500000000002</v>
      </c>
    </row>
    <row r="56" spans="1:27" ht="16" x14ac:dyDescent="0.2">
      <c r="A56" s="3" t="s">
        <v>43</v>
      </c>
      <c r="B56" s="3" t="s">
        <v>3</v>
      </c>
      <c r="C56" s="3">
        <v>92</v>
      </c>
      <c r="D56" s="3" t="s">
        <v>46</v>
      </c>
      <c r="E56" s="3">
        <v>1.43</v>
      </c>
      <c r="F56" s="3">
        <v>4.6399999999999997</v>
      </c>
      <c r="G56" s="3">
        <f t="shared" si="0"/>
        <v>31.991686399999995</v>
      </c>
      <c r="H56" s="3">
        <v>9.5402000000000005</v>
      </c>
      <c r="I56" s="3">
        <v>0</v>
      </c>
      <c r="J56" s="3">
        <v>5.3900000000000003E-2</v>
      </c>
      <c r="K56" s="3">
        <v>0.75929999999999997</v>
      </c>
      <c r="L56" s="3">
        <v>8.5300000000000001E-2</v>
      </c>
      <c r="M56" s="3">
        <v>0</v>
      </c>
      <c r="N56" s="3">
        <v>0</v>
      </c>
      <c r="O56" s="3">
        <v>4.0576999999999996</v>
      </c>
      <c r="P56" s="3">
        <v>2.2000000000000001E-3</v>
      </c>
      <c r="Q56" s="3">
        <v>9.4822000000000006</v>
      </c>
      <c r="R56" s="3">
        <v>71.524000000000001</v>
      </c>
      <c r="S56" s="3">
        <v>28.044</v>
      </c>
      <c r="T56" s="2"/>
      <c r="U56" s="2"/>
      <c r="V56" s="3"/>
      <c r="W56" s="2"/>
      <c r="X56" s="3">
        <v>48.735999999999997</v>
      </c>
      <c r="Y56" s="3">
        <v>24.812999999999999</v>
      </c>
      <c r="Z56" s="4">
        <v>61.3065</v>
      </c>
      <c r="AA56" s="4">
        <f t="shared" si="1"/>
        <v>24.6738</v>
      </c>
    </row>
    <row r="57" spans="1:27" ht="16" x14ac:dyDescent="0.2">
      <c r="A57" s="3" t="s">
        <v>43</v>
      </c>
      <c r="B57" s="3" t="s">
        <v>3</v>
      </c>
      <c r="C57" s="3">
        <v>117</v>
      </c>
      <c r="D57" s="3" t="s">
        <v>46</v>
      </c>
      <c r="E57" s="3">
        <v>1.52</v>
      </c>
      <c r="F57" s="3">
        <v>4.68</v>
      </c>
      <c r="G57" s="3">
        <f t="shared" si="0"/>
        <v>32.267476799999997</v>
      </c>
      <c r="H57" s="3">
        <v>10.045500000000001</v>
      </c>
      <c r="I57" s="3">
        <v>0</v>
      </c>
      <c r="J57" s="3">
        <v>0.21890000000000001</v>
      </c>
      <c r="K57" s="3">
        <v>0.88270000000000004</v>
      </c>
      <c r="L57" s="3">
        <v>0.42809999999999998</v>
      </c>
      <c r="M57" s="3">
        <v>3.8999999999999998E-3</v>
      </c>
      <c r="N57" s="3">
        <v>0</v>
      </c>
      <c r="O57" s="3">
        <v>4.7489999999999997</v>
      </c>
      <c r="P57" s="3">
        <v>0.1205</v>
      </c>
      <c r="Q57" s="3">
        <v>13.5913</v>
      </c>
      <c r="R57" s="3">
        <v>61.27</v>
      </c>
      <c r="S57" s="3">
        <v>32.57</v>
      </c>
      <c r="T57" s="3">
        <v>2.153</v>
      </c>
      <c r="U57" s="3">
        <v>0</v>
      </c>
      <c r="V57" s="3"/>
      <c r="W57" s="2"/>
      <c r="X57" s="3">
        <v>58.99</v>
      </c>
      <c r="Y57" s="3">
        <v>29.338999999999999</v>
      </c>
      <c r="Z57" s="4">
        <v>81.439400000000006</v>
      </c>
      <c r="AA57" s="4">
        <f t="shared" si="1"/>
        <v>28.688099999999999</v>
      </c>
    </row>
    <row r="58" spans="1:27" ht="16" x14ac:dyDescent="0.2">
      <c r="A58" s="3" t="s">
        <v>43</v>
      </c>
      <c r="B58" s="3" t="s">
        <v>3</v>
      </c>
      <c r="C58" s="3">
        <v>142</v>
      </c>
      <c r="D58" s="3" t="s">
        <v>46</v>
      </c>
      <c r="E58" s="3">
        <v>1.54</v>
      </c>
      <c r="F58" s="3">
        <v>4.9800000000000004</v>
      </c>
      <c r="G58" s="3">
        <f t="shared" si="0"/>
        <v>34.335904800000002</v>
      </c>
      <c r="H58" s="3">
        <v>16.099399999999999</v>
      </c>
      <c r="I58" s="3">
        <v>0.72850000000000004</v>
      </c>
      <c r="J58" s="3">
        <v>1.0769</v>
      </c>
      <c r="K58" s="3">
        <v>1.8548</v>
      </c>
      <c r="L58" s="3">
        <v>1.2688999999999999</v>
      </c>
      <c r="M58" s="3">
        <v>1.8E-3</v>
      </c>
      <c r="N58" s="3">
        <v>0.20880000000000001</v>
      </c>
      <c r="O58" s="3">
        <v>6.5612000000000004</v>
      </c>
      <c r="P58" s="3">
        <v>0.3352</v>
      </c>
      <c r="Q58" s="3">
        <v>19.135999999999999</v>
      </c>
      <c r="R58" s="3">
        <v>50.503</v>
      </c>
      <c r="S58" s="3">
        <v>29.806999999999999</v>
      </c>
      <c r="T58" s="2"/>
      <c r="U58" s="2"/>
      <c r="V58" s="3"/>
      <c r="W58" s="2"/>
      <c r="X58" s="3">
        <v>69.757000000000005</v>
      </c>
      <c r="Y58" s="3">
        <v>26.576000000000001</v>
      </c>
      <c r="Z58" s="4">
        <v>120.5377</v>
      </c>
      <c r="AA58" s="4">
        <f t="shared" si="1"/>
        <v>23.2911</v>
      </c>
    </row>
    <row r="59" spans="1:27" ht="16" x14ac:dyDescent="0.2">
      <c r="A59" s="3" t="s">
        <v>43</v>
      </c>
      <c r="B59" s="3" t="s">
        <v>3</v>
      </c>
      <c r="C59" s="3">
        <v>168</v>
      </c>
      <c r="D59" s="3" t="s">
        <v>46</v>
      </c>
      <c r="E59" s="3">
        <v>1.47</v>
      </c>
      <c r="F59" s="3">
        <v>5.12</v>
      </c>
      <c r="G59" s="3">
        <f t="shared" si="0"/>
        <v>35.301171199999999</v>
      </c>
      <c r="H59" s="3">
        <v>12.726900000000001</v>
      </c>
      <c r="I59" s="3">
        <v>0.66739999999999999</v>
      </c>
      <c r="J59" s="3">
        <v>0.91239999999999999</v>
      </c>
      <c r="K59" s="3">
        <v>1.6384000000000001</v>
      </c>
      <c r="L59" s="3">
        <v>1.1211</v>
      </c>
      <c r="M59" s="3">
        <v>2.3999999999999998E-3</v>
      </c>
      <c r="N59" s="3">
        <v>0.20669999999999999</v>
      </c>
      <c r="O59" s="3">
        <v>5.7222999999999997</v>
      </c>
      <c r="P59" s="3">
        <v>0.31490000000000001</v>
      </c>
      <c r="Q59" s="3">
        <v>17.988399999999999</v>
      </c>
      <c r="R59" s="3">
        <v>44.935000000000002</v>
      </c>
      <c r="S59" s="3">
        <v>31.146000000000001</v>
      </c>
      <c r="T59" s="2"/>
      <c r="U59" s="2"/>
      <c r="V59" s="3"/>
      <c r="W59" s="2"/>
      <c r="X59" s="3">
        <v>75.325000000000003</v>
      </c>
      <c r="Y59" s="3">
        <v>27.914999999999999</v>
      </c>
      <c r="Z59" s="4">
        <v>109.188</v>
      </c>
      <c r="AA59" s="4">
        <f t="shared" si="1"/>
        <v>25.004999999999999</v>
      </c>
    </row>
    <row r="60" spans="1:27" ht="16" x14ac:dyDescent="0.2">
      <c r="A60" s="3" t="s">
        <v>43</v>
      </c>
      <c r="B60" s="3" t="s">
        <v>3</v>
      </c>
      <c r="C60" s="3">
        <v>190</v>
      </c>
      <c r="D60" s="3" t="s">
        <v>46</v>
      </c>
      <c r="E60" s="3">
        <v>1.43</v>
      </c>
      <c r="F60" s="3">
        <v>5</v>
      </c>
      <c r="G60" s="3">
        <f t="shared" si="0"/>
        <v>34.473799999999997</v>
      </c>
      <c r="H60" s="3">
        <v>13.5389</v>
      </c>
      <c r="I60" s="3">
        <v>0.61409999999999998</v>
      </c>
      <c r="J60" s="3">
        <v>0.99329999999999996</v>
      </c>
      <c r="K60" s="3">
        <v>1.8183</v>
      </c>
      <c r="L60" s="3">
        <v>1.2113</v>
      </c>
      <c r="M60" s="3">
        <v>4.1999999999999997E-3</v>
      </c>
      <c r="N60" s="3">
        <v>0.22289999999999999</v>
      </c>
      <c r="O60" s="3">
        <v>6.0811000000000002</v>
      </c>
      <c r="P60" s="3">
        <v>0.38179999999999997</v>
      </c>
      <c r="Q60" s="3">
        <v>19.1693</v>
      </c>
      <c r="R60" s="3">
        <v>42.308999999999997</v>
      </c>
      <c r="S60" s="3">
        <v>34.027000000000001</v>
      </c>
      <c r="T60" s="3">
        <v>2.1880000000000002</v>
      </c>
      <c r="U60" s="3">
        <v>3.1419999999999999</v>
      </c>
      <c r="V60" s="3"/>
      <c r="W60" s="2"/>
      <c r="X60" s="3">
        <v>77.950999999999993</v>
      </c>
      <c r="Y60" s="3">
        <v>30.795999999999999</v>
      </c>
      <c r="Z60" s="4">
        <v>116.51430000000001</v>
      </c>
      <c r="AA60" s="4">
        <f t="shared" si="1"/>
        <v>27.7502</v>
      </c>
    </row>
    <row r="61" spans="1:27" s="10" customFormat="1" ht="16" x14ac:dyDescent="0.2">
      <c r="A61" s="6" t="s">
        <v>43</v>
      </c>
      <c r="B61" s="6" t="s">
        <v>3</v>
      </c>
      <c r="C61" s="6">
        <v>240</v>
      </c>
      <c r="D61" s="6" t="s">
        <v>46</v>
      </c>
      <c r="E61" s="6">
        <v>1.33</v>
      </c>
      <c r="F61" s="7"/>
      <c r="G61" s="3"/>
      <c r="H61" s="6">
        <v>12.321899999999999</v>
      </c>
      <c r="I61" s="6">
        <v>0.66969999999999996</v>
      </c>
      <c r="J61" s="6">
        <v>0.84670000000000001</v>
      </c>
      <c r="K61" s="6">
        <v>1.6963999999999999</v>
      </c>
      <c r="L61" s="6">
        <v>1.1107</v>
      </c>
      <c r="M61" s="6">
        <v>8.3000000000000001E-3</v>
      </c>
      <c r="N61" s="6">
        <v>0.19620000000000001</v>
      </c>
      <c r="O61" s="6">
        <v>5.4759000000000002</v>
      </c>
      <c r="P61" s="6">
        <v>0.33</v>
      </c>
      <c r="Q61" s="6">
        <v>17.526299999999999</v>
      </c>
      <c r="R61" s="6">
        <v>36.015000000000001</v>
      </c>
      <c r="S61" s="6">
        <v>47.164999999999999</v>
      </c>
      <c r="T61" s="6">
        <v>2.7210000000000001</v>
      </c>
      <c r="U61" s="6">
        <v>5.819</v>
      </c>
      <c r="V61" s="6">
        <v>1.9710000000000001</v>
      </c>
      <c r="W61" s="6">
        <v>7.29</v>
      </c>
      <c r="X61" s="6">
        <v>84.245000000000005</v>
      </c>
      <c r="Y61" s="6">
        <v>43.933999999999997</v>
      </c>
      <c r="Z61" s="11">
        <v>108.24469999999999</v>
      </c>
      <c r="AA61" s="11">
        <f t="shared" si="1"/>
        <v>41.102399999999996</v>
      </c>
    </row>
    <row r="62" spans="1:27" ht="16" x14ac:dyDescent="0.2">
      <c r="A62" s="3" t="s">
        <v>43</v>
      </c>
      <c r="B62" s="3" t="s">
        <v>4</v>
      </c>
      <c r="C62" s="3">
        <v>0</v>
      </c>
      <c r="D62" s="3" t="s">
        <v>44</v>
      </c>
      <c r="E62" s="3">
        <v>0</v>
      </c>
      <c r="F62" s="3">
        <v>0.64</v>
      </c>
      <c r="G62" s="3">
        <f t="shared" si="0"/>
        <v>4.4126463999999999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  <c r="S62" s="3">
        <v>3.508</v>
      </c>
      <c r="T62" s="3">
        <v>0</v>
      </c>
      <c r="U62" s="3">
        <v>0</v>
      </c>
      <c r="V62" s="3"/>
      <c r="W62" s="3">
        <v>6.28</v>
      </c>
      <c r="X62" s="3"/>
      <c r="Y62" s="3">
        <v>0</v>
      </c>
      <c r="Z62" s="4">
        <v>0</v>
      </c>
      <c r="AA62" s="4">
        <f t="shared" si="1"/>
        <v>0</v>
      </c>
    </row>
    <row r="63" spans="1:27" ht="16" x14ac:dyDescent="0.2">
      <c r="A63" s="3" t="s">
        <v>43</v>
      </c>
      <c r="B63" s="3" t="s">
        <v>4</v>
      </c>
      <c r="C63" s="3">
        <v>21</v>
      </c>
      <c r="D63" s="3" t="s">
        <v>44</v>
      </c>
      <c r="E63" s="3">
        <v>3.6999999999999998E-2</v>
      </c>
      <c r="F63" s="3">
        <v>0.84</v>
      </c>
      <c r="G63" s="3">
        <f t="shared" si="0"/>
        <v>5.7915983999999998</v>
      </c>
      <c r="H63" s="3">
        <v>7.0000000000000007E-2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  <c r="S63" s="3">
        <v>4.9640000000000004</v>
      </c>
      <c r="T63" s="2"/>
      <c r="U63" s="2"/>
      <c r="V63" s="3"/>
      <c r="W63" s="2"/>
      <c r="X63" s="2"/>
      <c r="Y63" s="3">
        <v>1.456</v>
      </c>
      <c r="Z63" s="4">
        <v>7.0000000000000007E-2</v>
      </c>
      <c r="AA63" s="4">
        <f t="shared" si="1"/>
        <v>1.456</v>
      </c>
    </row>
    <row r="64" spans="1:27" ht="16" x14ac:dyDescent="0.2">
      <c r="A64" s="3" t="s">
        <v>43</v>
      </c>
      <c r="B64" s="3" t="s">
        <v>4</v>
      </c>
      <c r="C64" s="3">
        <v>45</v>
      </c>
      <c r="D64" s="3" t="s">
        <v>44</v>
      </c>
      <c r="E64" s="3">
        <v>0.14000000000000001</v>
      </c>
      <c r="F64" s="3">
        <v>0.28000000000000003</v>
      </c>
      <c r="G64" s="3">
        <f t="shared" si="0"/>
        <v>1.9305328000000002</v>
      </c>
      <c r="H64" s="3">
        <v>2.0880000000000001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  <c r="S64" s="3">
        <v>8.3849999999999998</v>
      </c>
      <c r="T64" s="2"/>
      <c r="U64" s="2"/>
      <c r="V64" s="3"/>
      <c r="W64" s="2"/>
      <c r="X64" s="2"/>
      <c r="Y64" s="3">
        <v>4.8769999999999998</v>
      </c>
      <c r="Z64" s="4">
        <v>2.0880000000000001</v>
      </c>
      <c r="AA64" s="4">
        <f t="shared" si="1"/>
        <v>4.8769999999999998</v>
      </c>
    </row>
    <row r="65" spans="1:27" ht="16" x14ac:dyDescent="0.2">
      <c r="A65" s="3" t="s">
        <v>43</v>
      </c>
      <c r="B65" s="3" t="s">
        <v>4</v>
      </c>
      <c r="C65" s="3">
        <v>69</v>
      </c>
      <c r="D65" s="3" t="s">
        <v>44</v>
      </c>
      <c r="E65" s="3">
        <v>0.74</v>
      </c>
      <c r="F65" s="3">
        <v>1.1399999999999999</v>
      </c>
      <c r="G65" s="3">
        <f t="shared" si="0"/>
        <v>7.8600263999999989</v>
      </c>
      <c r="H65" s="3">
        <v>3.4239999999999999</v>
      </c>
      <c r="I65" s="3">
        <v>0</v>
      </c>
      <c r="J65" s="3">
        <v>0.186</v>
      </c>
      <c r="K65" s="3">
        <v>0</v>
      </c>
      <c r="L65" s="3">
        <v>0.52</v>
      </c>
      <c r="M65" s="3">
        <v>0.13900000000000001</v>
      </c>
      <c r="N65" s="3">
        <v>0</v>
      </c>
      <c r="O65" s="3">
        <v>0.23300000000000001</v>
      </c>
      <c r="P65" s="3">
        <v>6.3E-2</v>
      </c>
      <c r="Q65" s="3">
        <v>0</v>
      </c>
      <c r="R65" s="3"/>
      <c r="S65" s="3">
        <v>24.02</v>
      </c>
      <c r="T65" s="3">
        <v>4.1609999999999996</v>
      </c>
      <c r="U65" s="3">
        <v>0</v>
      </c>
      <c r="V65" s="3"/>
      <c r="W65" s="2"/>
      <c r="X65" s="2"/>
      <c r="Y65" s="3">
        <v>20.512</v>
      </c>
      <c r="Z65" s="4">
        <v>5.2960000000000003</v>
      </c>
      <c r="AA65" s="4">
        <f t="shared" si="1"/>
        <v>19.667000000000002</v>
      </c>
    </row>
    <row r="66" spans="1:27" ht="16" x14ac:dyDescent="0.2">
      <c r="A66" s="3" t="s">
        <v>43</v>
      </c>
      <c r="B66" s="3" t="s">
        <v>4</v>
      </c>
      <c r="C66" s="3">
        <v>92</v>
      </c>
      <c r="D66" s="3" t="s">
        <v>44</v>
      </c>
      <c r="E66" s="3">
        <v>1.8</v>
      </c>
      <c r="F66" s="3">
        <v>2.2599999999999998</v>
      </c>
      <c r="G66" s="3">
        <f t="shared" si="0"/>
        <v>15.582157599999999</v>
      </c>
      <c r="H66" s="3">
        <v>2.9910000000000001</v>
      </c>
      <c r="I66" s="3">
        <v>0.27200000000000002</v>
      </c>
      <c r="J66" s="3">
        <v>2.0819999999999999</v>
      </c>
      <c r="K66" s="3">
        <v>0.48299999999999998</v>
      </c>
      <c r="L66" s="3">
        <v>3.7690000000000001</v>
      </c>
      <c r="M66" s="3">
        <v>0.69599999999999995</v>
      </c>
      <c r="N66" s="3">
        <v>0</v>
      </c>
      <c r="O66" s="3">
        <v>0.54100000000000004</v>
      </c>
      <c r="P66" s="3">
        <v>0.49199999999999999</v>
      </c>
      <c r="Q66" s="3">
        <v>0</v>
      </c>
      <c r="R66" s="3"/>
      <c r="S66" s="3">
        <v>49.975000000000001</v>
      </c>
      <c r="T66" s="2"/>
      <c r="U66" s="2"/>
      <c r="V66" s="3"/>
      <c r="W66" s="2"/>
      <c r="X66" s="2"/>
      <c r="Y66" s="3">
        <v>46.466999999999999</v>
      </c>
      <c r="Z66" s="4">
        <v>14.571</v>
      </c>
      <c r="AA66" s="4">
        <f t="shared" si="1"/>
        <v>39.647999999999996</v>
      </c>
    </row>
    <row r="67" spans="1:27" ht="16" x14ac:dyDescent="0.2">
      <c r="A67" s="3" t="s">
        <v>43</v>
      </c>
      <c r="B67" s="3" t="s">
        <v>4</v>
      </c>
      <c r="C67" s="3">
        <v>117</v>
      </c>
      <c r="D67" s="3" t="s">
        <v>44</v>
      </c>
      <c r="E67" s="3">
        <v>1.8</v>
      </c>
      <c r="F67" s="3">
        <v>2.98</v>
      </c>
      <c r="G67" s="3">
        <f t="shared" ref="G67:G130" si="2">F67*6.89476</f>
        <v>20.546384799999998</v>
      </c>
      <c r="H67" s="3">
        <v>11.298</v>
      </c>
      <c r="I67" s="3">
        <v>2.9510000000000001</v>
      </c>
      <c r="J67" s="3">
        <v>4.657</v>
      </c>
      <c r="K67" s="3">
        <v>1.548</v>
      </c>
      <c r="L67" s="3">
        <v>6.5810000000000004</v>
      </c>
      <c r="M67" s="3">
        <v>0.71799999999999997</v>
      </c>
      <c r="N67" s="3">
        <v>0.40500000000000003</v>
      </c>
      <c r="O67" s="3">
        <v>9.4E-2</v>
      </c>
      <c r="P67" s="3">
        <v>0</v>
      </c>
      <c r="Q67" s="3">
        <v>0</v>
      </c>
      <c r="R67" s="3"/>
      <c r="S67" s="3">
        <v>57.680999999999997</v>
      </c>
      <c r="T67" s="3">
        <v>63.576999999999998</v>
      </c>
      <c r="U67" s="3">
        <v>6.7329999999999997</v>
      </c>
      <c r="V67" s="3"/>
      <c r="W67" s="2"/>
      <c r="X67" s="2"/>
      <c r="Y67" s="3">
        <v>54.173000000000002</v>
      </c>
      <c r="Z67" s="4">
        <v>31.111000000000001</v>
      </c>
      <c r="AA67" s="4">
        <f t="shared" ref="AA67:AA91" si="3">(Y67)-(SUM(J67,L67,N67)+SUM(I67,M67))</f>
        <v>38.861000000000004</v>
      </c>
    </row>
    <row r="68" spans="1:27" ht="16" x14ac:dyDescent="0.2">
      <c r="A68" s="3" t="s">
        <v>43</v>
      </c>
      <c r="B68" s="3" t="s">
        <v>4</v>
      </c>
      <c r="C68" s="3">
        <v>142</v>
      </c>
      <c r="D68" s="3" t="s">
        <v>44</v>
      </c>
      <c r="E68" s="3">
        <v>1.56</v>
      </c>
      <c r="F68" s="3">
        <v>2.74</v>
      </c>
      <c r="G68" s="3">
        <f t="shared" si="2"/>
        <v>18.891642400000002</v>
      </c>
      <c r="H68" s="3">
        <v>22.434999999999999</v>
      </c>
      <c r="I68" s="3">
        <v>6.2279999999999998</v>
      </c>
      <c r="J68" s="3">
        <v>7.1970000000000001</v>
      </c>
      <c r="K68" s="3">
        <v>2.1560000000000001</v>
      </c>
      <c r="L68" s="3">
        <v>9.7430000000000003</v>
      </c>
      <c r="M68" s="3">
        <v>0.39100000000000001</v>
      </c>
      <c r="N68" s="3">
        <v>0.71</v>
      </c>
      <c r="O68" s="3">
        <v>0</v>
      </c>
      <c r="P68" s="3">
        <v>0</v>
      </c>
      <c r="Q68" s="3">
        <v>0</v>
      </c>
      <c r="R68" s="3"/>
      <c r="S68" s="3">
        <v>59.634999999999998</v>
      </c>
      <c r="T68" s="2"/>
      <c r="U68" s="2"/>
      <c r="V68" s="3"/>
      <c r="W68" s="2"/>
      <c r="X68" s="2"/>
      <c r="Y68" s="3">
        <v>56.127000000000002</v>
      </c>
      <c r="Z68" s="4">
        <v>52.116999999999997</v>
      </c>
      <c r="AA68" s="4">
        <f t="shared" si="3"/>
        <v>31.858000000000001</v>
      </c>
    </row>
    <row r="69" spans="1:27" ht="16" x14ac:dyDescent="0.2">
      <c r="A69" s="3" t="s">
        <v>43</v>
      </c>
      <c r="B69" s="3" t="s">
        <v>4</v>
      </c>
      <c r="C69" s="3">
        <v>168</v>
      </c>
      <c r="D69" s="3" t="s">
        <v>44</v>
      </c>
      <c r="E69" s="3">
        <v>1.24</v>
      </c>
      <c r="F69" s="3">
        <v>2.62</v>
      </c>
      <c r="G69" s="3">
        <f t="shared" si="2"/>
        <v>18.0642712</v>
      </c>
      <c r="H69" s="3">
        <v>23.068999999999999</v>
      </c>
      <c r="I69" s="3">
        <v>6.8579999999999997</v>
      </c>
      <c r="J69" s="3">
        <v>7.1689999999999996</v>
      </c>
      <c r="K69" s="3">
        <v>2.1469999999999998</v>
      </c>
      <c r="L69" s="3">
        <v>9.6829999999999998</v>
      </c>
      <c r="M69" s="3">
        <v>0.30499999999999999</v>
      </c>
      <c r="N69" s="3">
        <v>0.70099999999999996</v>
      </c>
      <c r="O69" s="3">
        <v>0</v>
      </c>
      <c r="P69" s="3">
        <v>0</v>
      </c>
      <c r="Q69" s="3">
        <v>0</v>
      </c>
      <c r="R69" s="3"/>
      <c r="S69" s="3">
        <v>59.500999999999998</v>
      </c>
      <c r="T69" s="2"/>
      <c r="U69" s="2"/>
      <c r="V69" s="3"/>
      <c r="W69" s="2"/>
      <c r="X69" s="2"/>
      <c r="Y69" s="3">
        <v>55.993000000000002</v>
      </c>
      <c r="Z69" s="4">
        <v>53.085000000000001</v>
      </c>
      <c r="AA69" s="4">
        <f t="shared" si="3"/>
        <v>31.277000000000001</v>
      </c>
    </row>
    <row r="70" spans="1:27" ht="16" x14ac:dyDescent="0.2">
      <c r="A70" s="3" t="s">
        <v>43</v>
      </c>
      <c r="B70" s="3" t="s">
        <v>4</v>
      </c>
      <c r="C70" s="3">
        <v>190</v>
      </c>
      <c r="D70" s="3" t="s">
        <v>44</v>
      </c>
      <c r="E70" s="3">
        <v>0.88</v>
      </c>
      <c r="F70" s="3">
        <v>2.48</v>
      </c>
      <c r="G70" s="3">
        <f t="shared" si="2"/>
        <v>17.099004799999999</v>
      </c>
      <c r="H70" s="3">
        <v>22.606999999999999</v>
      </c>
      <c r="I70" s="3">
        <v>6.9539999999999997</v>
      </c>
      <c r="J70" s="3">
        <v>7.1180000000000003</v>
      </c>
      <c r="K70" s="3">
        <v>2.0579999999999998</v>
      </c>
      <c r="L70" s="3">
        <v>9.6809999999999992</v>
      </c>
      <c r="M70" s="3">
        <v>0.26900000000000002</v>
      </c>
      <c r="N70" s="3">
        <v>0.71499999999999997</v>
      </c>
      <c r="O70" s="3">
        <v>0</v>
      </c>
      <c r="P70" s="3">
        <v>0</v>
      </c>
      <c r="Q70" s="3">
        <v>0</v>
      </c>
      <c r="R70" s="3"/>
      <c r="S70" s="3">
        <v>60.517000000000003</v>
      </c>
      <c r="T70" s="3">
        <v>67.064999999999998</v>
      </c>
      <c r="U70" s="3">
        <v>3.0790000000000002</v>
      </c>
      <c r="V70" s="3"/>
      <c r="W70" s="2"/>
      <c r="X70" s="2"/>
      <c r="Y70" s="3">
        <v>57.009</v>
      </c>
      <c r="Z70" s="4">
        <v>52.444000000000003</v>
      </c>
      <c r="AA70" s="4">
        <f t="shared" si="3"/>
        <v>32.272000000000006</v>
      </c>
    </row>
    <row r="71" spans="1:27" s="10" customFormat="1" ht="16" x14ac:dyDescent="0.2">
      <c r="A71" s="6" t="s">
        <v>43</v>
      </c>
      <c r="B71" s="6" t="s">
        <v>4</v>
      </c>
      <c r="C71" s="6">
        <v>240</v>
      </c>
      <c r="D71" s="6" t="s">
        <v>44</v>
      </c>
      <c r="E71" s="6">
        <v>0.247</v>
      </c>
      <c r="F71" s="7"/>
      <c r="G71" s="3"/>
      <c r="H71" s="6">
        <v>20.437000000000001</v>
      </c>
      <c r="I71" s="6">
        <v>6.49</v>
      </c>
      <c r="J71" s="6">
        <v>6.4320000000000004</v>
      </c>
      <c r="K71" s="6">
        <v>1.7330000000000001</v>
      </c>
      <c r="L71" s="6">
        <v>8.7040000000000006</v>
      </c>
      <c r="M71" s="6">
        <v>0.25700000000000001</v>
      </c>
      <c r="N71" s="6">
        <v>0.63300000000000001</v>
      </c>
      <c r="O71" s="6">
        <v>0</v>
      </c>
      <c r="P71" s="6">
        <v>0</v>
      </c>
      <c r="Q71" s="6">
        <v>0</v>
      </c>
      <c r="R71" s="6"/>
      <c r="S71" s="6">
        <v>71.301000000000002</v>
      </c>
      <c r="T71" s="6">
        <v>80.924999999999997</v>
      </c>
      <c r="U71" s="6">
        <v>6.6710000000000003</v>
      </c>
      <c r="V71" s="6">
        <v>0</v>
      </c>
      <c r="W71" s="6">
        <v>6.56</v>
      </c>
      <c r="X71" s="6"/>
      <c r="Y71" s="6">
        <v>67.793000000000006</v>
      </c>
      <c r="Z71" s="11">
        <v>47.308999999999997</v>
      </c>
      <c r="AA71" s="11">
        <f t="shared" si="3"/>
        <v>45.277000000000001</v>
      </c>
    </row>
    <row r="72" spans="1:27" ht="16" x14ac:dyDescent="0.2">
      <c r="A72" s="3" t="s">
        <v>43</v>
      </c>
      <c r="B72" s="3" t="s">
        <v>4</v>
      </c>
      <c r="C72" s="3">
        <v>0</v>
      </c>
      <c r="D72" s="3" t="s">
        <v>45</v>
      </c>
      <c r="E72" s="3">
        <v>5.0000000000000001E-3</v>
      </c>
      <c r="F72" s="3">
        <v>0.64</v>
      </c>
      <c r="G72" s="3">
        <f t="shared" si="2"/>
        <v>4.4126463999999999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/>
      <c r="S72" s="3">
        <v>3.484</v>
      </c>
      <c r="T72" s="3">
        <v>0</v>
      </c>
      <c r="U72" s="3">
        <v>0</v>
      </c>
      <c r="V72" s="3"/>
      <c r="W72" s="3">
        <v>6.28</v>
      </c>
      <c r="X72" s="3"/>
      <c r="Y72" s="3">
        <v>0</v>
      </c>
      <c r="Z72" s="4">
        <v>0</v>
      </c>
      <c r="AA72" s="4">
        <f t="shared" si="3"/>
        <v>0</v>
      </c>
    </row>
    <row r="73" spans="1:27" ht="16" x14ac:dyDescent="0.2">
      <c r="A73" s="3" t="s">
        <v>43</v>
      </c>
      <c r="B73" s="3" t="s">
        <v>4</v>
      </c>
      <c r="C73" s="3">
        <v>21</v>
      </c>
      <c r="D73" s="3" t="s">
        <v>45</v>
      </c>
      <c r="E73" s="3">
        <v>4.3999999999999997E-2</v>
      </c>
      <c r="F73" s="3">
        <v>0.9</v>
      </c>
      <c r="G73" s="3">
        <f t="shared" si="2"/>
        <v>6.2052839999999998</v>
      </c>
      <c r="H73" s="3">
        <v>0.22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  <c r="S73" s="3">
        <v>5.2569999999999997</v>
      </c>
      <c r="T73" s="2"/>
      <c r="U73" s="2"/>
      <c r="V73" s="3"/>
      <c r="W73" s="2"/>
      <c r="X73" s="2"/>
      <c r="Y73" s="3">
        <v>1.7729999999999999</v>
      </c>
      <c r="Z73" s="4">
        <v>0.22</v>
      </c>
      <c r="AA73" s="4">
        <f t="shared" si="3"/>
        <v>1.7729999999999999</v>
      </c>
    </row>
    <row r="74" spans="1:27" ht="16" x14ac:dyDescent="0.2">
      <c r="A74" s="3" t="s">
        <v>43</v>
      </c>
      <c r="B74" s="3" t="s">
        <v>4</v>
      </c>
      <c r="C74" s="3">
        <v>45</v>
      </c>
      <c r="D74" s="3" t="s">
        <v>45</v>
      </c>
      <c r="E74" s="3">
        <v>0.14000000000000001</v>
      </c>
      <c r="F74" s="3">
        <v>0.34</v>
      </c>
      <c r="G74" s="3">
        <f t="shared" si="2"/>
        <v>2.3442183999999999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  <c r="S74" s="3">
        <v>9.1259999999999994</v>
      </c>
      <c r="T74" s="2"/>
      <c r="U74" s="2"/>
      <c r="V74" s="3"/>
      <c r="W74" s="2"/>
      <c r="X74" s="2"/>
      <c r="Y74" s="3">
        <v>5.6420000000000003</v>
      </c>
      <c r="Z74" s="4">
        <v>0</v>
      </c>
      <c r="AA74" s="4">
        <f t="shared" si="3"/>
        <v>5.6420000000000003</v>
      </c>
    </row>
    <row r="75" spans="1:27" ht="16" x14ac:dyDescent="0.2">
      <c r="A75" s="3" t="s">
        <v>43</v>
      </c>
      <c r="B75" s="3" t="s">
        <v>4</v>
      </c>
      <c r="C75" s="3">
        <v>69</v>
      </c>
      <c r="D75" s="3" t="s">
        <v>45</v>
      </c>
      <c r="E75" s="3">
        <v>1.1200000000000001</v>
      </c>
      <c r="F75" s="3">
        <v>1.9</v>
      </c>
      <c r="G75" s="3">
        <f t="shared" si="2"/>
        <v>13.100043999999999</v>
      </c>
      <c r="H75" s="3">
        <v>4.2770000000000001</v>
      </c>
      <c r="I75" s="3">
        <v>0</v>
      </c>
      <c r="J75" s="3">
        <v>0.81100000000000005</v>
      </c>
      <c r="K75" s="3">
        <v>0</v>
      </c>
      <c r="L75" s="3">
        <v>1.718</v>
      </c>
      <c r="M75" s="3">
        <v>0.314</v>
      </c>
      <c r="N75" s="3">
        <v>0</v>
      </c>
      <c r="O75" s="3">
        <v>0.52200000000000002</v>
      </c>
      <c r="P75" s="3">
        <v>0.44500000000000001</v>
      </c>
      <c r="Q75" s="3">
        <v>0</v>
      </c>
      <c r="R75" s="3"/>
      <c r="S75" s="3">
        <v>32.276000000000003</v>
      </c>
      <c r="T75" s="3">
        <v>10.698</v>
      </c>
      <c r="U75" s="3">
        <v>0</v>
      </c>
      <c r="V75" s="3"/>
      <c r="W75" s="2"/>
      <c r="X75" s="2"/>
      <c r="Y75" s="3">
        <v>28.792000000000002</v>
      </c>
      <c r="Z75" s="4">
        <v>10.335000000000001</v>
      </c>
      <c r="AA75" s="4">
        <f t="shared" si="3"/>
        <v>25.949000000000002</v>
      </c>
    </row>
    <row r="76" spans="1:27" ht="16" x14ac:dyDescent="0.2">
      <c r="A76" s="3" t="s">
        <v>43</v>
      </c>
      <c r="B76" s="3" t="s">
        <v>4</v>
      </c>
      <c r="C76" s="3">
        <v>92</v>
      </c>
      <c r="D76" s="3" t="s">
        <v>45</v>
      </c>
      <c r="E76" s="3">
        <v>1.87</v>
      </c>
      <c r="F76" s="3">
        <v>2.82</v>
      </c>
      <c r="G76" s="3">
        <f t="shared" si="2"/>
        <v>19.443223199999998</v>
      </c>
      <c r="H76" s="3">
        <v>5.73</v>
      </c>
      <c r="I76" s="3">
        <v>1.042</v>
      </c>
      <c r="J76" s="3">
        <v>3.823</v>
      </c>
      <c r="K76" s="3">
        <v>1.1200000000000001</v>
      </c>
      <c r="L76" s="3">
        <v>5.718</v>
      </c>
      <c r="M76" s="3">
        <v>1.071</v>
      </c>
      <c r="N76" s="3">
        <v>0.16300000000000001</v>
      </c>
      <c r="O76" s="3">
        <v>0.68799999999999994</v>
      </c>
      <c r="P76" s="3">
        <v>0.49399999999999999</v>
      </c>
      <c r="Q76" s="3">
        <v>0</v>
      </c>
      <c r="R76" s="3"/>
      <c r="S76" s="3">
        <v>55.165999999999997</v>
      </c>
      <c r="T76" s="2"/>
      <c r="U76" s="2"/>
      <c r="V76" s="3"/>
      <c r="W76" s="2"/>
      <c r="X76" s="2"/>
      <c r="Y76" s="3">
        <v>51.682000000000002</v>
      </c>
      <c r="Z76" s="4">
        <v>24.567</v>
      </c>
      <c r="AA76" s="4">
        <f t="shared" si="3"/>
        <v>39.865000000000002</v>
      </c>
    </row>
    <row r="77" spans="1:27" ht="16" x14ac:dyDescent="0.2">
      <c r="A77" s="3" t="s">
        <v>43</v>
      </c>
      <c r="B77" s="3" t="s">
        <v>4</v>
      </c>
      <c r="C77" s="3">
        <v>117</v>
      </c>
      <c r="D77" s="3" t="s">
        <v>45</v>
      </c>
      <c r="E77" s="3">
        <v>1.64</v>
      </c>
      <c r="F77" s="3">
        <v>3.16</v>
      </c>
      <c r="G77" s="3">
        <f t="shared" si="2"/>
        <v>21.787441600000001</v>
      </c>
      <c r="H77" s="3">
        <v>14.552</v>
      </c>
      <c r="I77" s="3">
        <v>3.7549999999999999</v>
      </c>
      <c r="J77" s="3">
        <v>5.2190000000000003</v>
      </c>
      <c r="K77" s="3">
        <v>1.599</v>
      </c>
      <c r="L77" s="3">
        <v>7.22</v>
      </c>
      <c r="M77" s="3">
        <v>0.61699999999999999</v>
      </c>
      <c r="N77" s="3">
        <v>0.46700000000000003</v>
      </c>
      <c r="O77" s="3">
        <v>0</v>
      </c>
      <c r="P77" s="3">
        <v>0</v>
      </c>
      <c r="Q77" s="3">
        <v>0</v>
      </c>
      <c r="R77" s="3"/>
      <c r="S77" s="3">
        <v>59.232999999999997</v>
      </c>
      <c r="T77" s="3">
        <v>60.33</v>
      </c>
      <c r="U77" s="3">
        <v>4.29</v>
      </c>
      <c r="V77" s="3"/>
      <c r="W77" s="2"/>
      <c r="X77" s="2"/>
      <c r="Y77" s="3">
        <v>55.749000000000002</v>
      </c>
      <c r="Z77" s="4">
        <v>36.112000000000002</v>
      </c>
      <c r="AA77" s="4">
        <f t="shared" si="3"/>
        <v>38.471000000000004</v>
      </c>
    </row>
    <row r="78" spans="1:27" ht="16" x14ac:dyDescent="0.2">
      <c r="A78" s="3" t="s">
        <v>43</v>
      </c>
      <c r="B78" s="3" t="s">
        <v>4</v>
      </c>
      <c r="C78" s="3">
        <v>142</v>
      </c>
      <c r="D78" s="3" t="s">
        <v>45</v>
      </c>
      <c r="E78" s="3">
        <v>1.46</v>
      </c>
      <c r="F78" s="3">
        <v>2.72</v>
      </c>
      <c r="G78" s="3">
        <f t="shared" si="2"/>
        <v>18.753747199999999</v>
      </c>
      <c r="H78" s="3">
        <v>23.503</v>
      </c>
      <c r="I78" s="3">
        <v>6.7969999999999997</v>
      </c>
      <c r="J78" s="3">
        <v>7.6550000000000002</v>
      </c>
      <c r="K78" s="3">
        <v>2.4220000000000002</v>
      </c>
      <c r="L78" s="3">
        <v>10.246</v>
      </c>
      <c r="M78" s="3">
        <v>0.441</v>
      </c>
      <c r="N78" s="3">
        <v>0.78500000000000003</v>
      </c>
      <c r="O78" s="3">
        <v>0</v>
      </c>
      <c r="P78" s="3">
        <v>0</v>
      </c>
      <c r="Q78" s="3">
        <v>0</v>
      </c>
      <c r="R78" s="3"/>
      <c r="S78" s="3">
        <v>58.012</v>
      </c>
      <c r="T78" s="2"/>
      <c r="U78" s="2"/>
      <c r="V78" s="3"/>
      <c r="W78" s="2"/>
      <c r="X78" s="2"/>
      <c r="Y78" s="3">
        <v>54.527999999999999</v>
      </c>
      <c r="Z78" s="4">
        <v>55.497</v>
      </c>
      <c r="AA78" s="4">
        <f t="shared" si="3"/>
        <v>28.603999999999999</v>
      </c>
    </row>
    <row r="79" spans="1:27" ht="16" x14ac:dyDescent="0.2">
      <c r="A79" s="3" t="s">
        <v>43</v>
      </c>
      <c r="B79" s="3" t="s">
        <v>4</v>
      </c>
      <c r="C79" s="3">
        <v>168</v>
      </c>
      <c r="D79" s="3" t="s">
        <v>45</v>
      </c>
      <c r="E79" s="3">
        <v>1.2</v>
      </c>
      <c r="F79" s="3">
        <v>2.68</v>
      </c>
      <c r="G79" s="3">
        <f t="shared" si="2"/>
        <v>18.477956800000001</v>
      </c>
      <c r="H79" s="3">
        <v>25.666</v>
      </c>
      <c r="I79" s="3">
        <v>7.8520000000000003</v>
      </c>
      <c r="J79" s="3">
        <v>8.1129999999999995</v>
      </c>
      <c r="K79" s="3">
        <v>2.5550000000000002</v>
      </c>
      <c r="L79" s="3">
        <v>10.93</v>
      </c>
      <c r="M79" s="3">
        <v>0.42299999999999999</v>
      </c>
      <c r="N79" s="3">
        <v>0.81299999999999994</v>
      </c>
      <c r="O79" s="3">
        <v>0</v>
      </c>
      <c r="P79" s="3">
        <v>0</v>
      </c>
      <c r="Q79" s="3">
        <v>0</v>
      </c>
      <c r="R79" s="3"/>
      <c r="S79" s="3">
        <v>59.445999999999998</v>
      </c>
      <c r="T79" s="2"/>
      <c r="U79" s="2"/>
      <c r="V79" s="3"/>
      <c r="W79" s="2"/>
      <c r="X79" s="2"/>
      <c r="Y79" s="3">
        <v>55.962000000000003</v>
      </c>
      <c r="Z79" s="4">
        <v>60.143000000000001</v>
      </c>
      <c r="AA79" s="4">
        <f t="shared" si="3"/>
        <v>27.831000000000003</v>
      </c>
    </row>
    <row r="80" spans="1:27" ht="16" x14ac:dyDescent="0.2">
      <c r="A80" s="3" t="s">
        <v>43</v>
      </c>
      <c r="B80" s="3" t="s">
        <v>4</v>
      </c>
      <c r="C80" s="3">
        <v>190</v>
      </c>
      <c r="D80" s="3" t="s">
        <v>45</v>
      </c>
      <c r="E80" s="3">
        <v>0.73</v>
      </c>
      <c r="F80" s="3">
        <v>2.54</v>
      </c>
      <c r="G80" s="3">
        <f t="shared" si="2"/>
        <v>17.5126904</v>
      </c>
      <c r="H80" s="3">
        <v>19.416</v>
      </c>
      <c r="I80" s="3">
        <v>6.1260000000000003</v>
      </c>
      <c r="J80" s="3">
        <v>6.1130000000000004</v>
      </c>
      <c r="K80" s="3">
        <v>1.8280000000000001</v>
      </c>
      <c r="L80" s="3">
        <v>8.2690000000000001</v>
      </c>
      <c r="M80" s="3">
        <v>0.25600000000000001</v>
      </c>
      <c r="N80" s="3">
        <v>0.58199999999999996</v>
      </c>
      <c r="O80" s="3">
        <v>0</v>
      </c>
      <c r="P80" s="3">
        <v>0</v>
      </c>
      <c r="Q80" s="3">
        <v>0</v>
      </c>
      <c r="R80" s="3"/>
      <c r="S80" s="3">
        <v>59.545999999999999</v>
      </c>
      <c r="T80" s="3">
        <v>72.552000000000007</v>
      </c>
      <c r="U80" s="3">
        <v>6.2430000000000003</v>
      </c>
      <c r="V80" s="3"/>
      <c r="W80" s="2"/>
      <c r="X80" s="2"/>
      <c r="Y80" s="3">
        <v>56.061999999999998</v>
      </c>
      <c r="Z80" s="4">
        <v>45.256</v>
      </c>
      <c r="AA80" s="4">
        <f t="shared" si="3"/>
        <v>34.715999999999994</v>
      </c>
    </row>
    <row r="81" spans="1:27" s="10" customFormat="1" ht="16" x14ac:dyDescent="0.2">
      <c r="A81" s="6" t="s">
        <v>43</v>
      </c>
      <c r="B81" s="6" t="s">
        <v>4</v>
      </c>
      <c r="C81" s="6">
        <v>240</v>
      </c>
      <c r="D81" s="6" t="s">
        <v>45</v>
      </c>
      <c r="E81" s="6">
        <v>0.222</v>
      </c>
      <c r="F81" s="7"/>
      <c r="G81" s="3"/>
      <c r="H81" s="6">
        <v>23.082000000000001</v>
      </c>
      <c r="I81" s="6">
        <v>7.2830000000000004</v>
      </c>
      <c r="J81" s="6">
        <v>7.2779999999999996</v>
      </c>
      <c r="K81" s="6">
        <v>2.0449999999999999</v>
      </c>
      <c r="L81" s="6">
        <v>9.6890000000000001</v>
      </c>
      <c r="M81" s="6">
        <v>0.32600000000000001</v>
      </c>
      <c r="N81" s="6">
        <v>0.66200000000000003</v>
      </c>
      <c r="O81" s="6">
        <v>0</v>
      </c>
      <c r="P81" s="6">
        <v>0</v>
      </c>
      <c r="Q81" s="6">
        <v>0</v>
      </c>
      <c r="R81" s="6"/>
      <c r="S81" s="6">
        <v>75.209000000000003</v>
      </c>
      <c r="T81" s="6">
        <v>85.42</v>
      </c>
      <c r="U81" s="6">
        <v>7.7889999999999997</v>
      </c>
      <c r="V81" s="6">
        <v>0</v>
      </c>
      <c r="W81" s="6">
        <v>6.51</v>
      </c>
      <c r="X81" s="6"/>
      <c r="Y81" s="6">
        <v>71.724999999999994</v>
      </c>
      <c r="Z81" s="11">
        <v>53.398000000000003</v>
      </c>
      <c r="AA81" s="11">
        <f t="shared" si="3"/>
        <v>46.486999999999995</v>
      </c>
    </row>
    <row r="82" spans="1:27" ht="16" x14ac:dyDescent="0.2">
      <c r="A82" s="3" t="s">
        <v>43</v>
      </c>
      <c r="B82" s="3" t="s">
        <v>4</v>
      </c>
      <c r="C82" s="3">
        <v>0</v>
      </c>
      <c r="D82" s="3" t="s">
        <v>46</v>
      </c>
      <c r="E82" s="3">
        <v>1E-3</v>
      </c>
      <c r="F82" s="3">
        <v>0.64</v>
      </c>
      <c r="G82" s="3">
        <f t="shared" si="2"/>
        <v>4.4126463999999999</v>
      </c>
      <c r="H82" s="3">
        <v>0.48099999999999998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/>
      <c r="S82" s="3">
        <v>3.306</v>
      </c>
      <c r="T82" s="3">
        <v>0</v>
      </c>
      <c r="U82" s="3">
        <v>0</v>
      </c>
      <c r="V82" s="3"/>
      <c r="W82" s="3">
        <v>6.28</v>
      </c>
      <c r="X82" s="3"/>
      <c r="Y82" s="3">
        <v>0</v>
      </c>
      <c r="Z82" s="4">
        <v>0.48099999999999998</v>
      </c>
      <c r="AA82" s="4">
        <f t="shared" si="3"/>
        <v>0</v>
      </c>
    </row>
    <row r="83" spans="1:27" ht="16" x14ac:dyDescent="0.2">
      <c r="A83" s="3" t="s">
        <v>43</v>
      </c>
      <c r="B83" s="3" t="s">
        <v>4</v>
      </c>
      <c r="C83" s="3">
        <v>21</v>
      </c>
      <c r="D83" s="3" t="s">
        <v>46</v>
      </c>
      <c r="E83" s="3">
        <v>3.2000000000000001E-2</v>
      </c>
      <c r="F83" s="3">
        <v>0.76</v>
      </c>
      <c r="G83" s="3">
        <f t="shared" si="2"/>
        <v>5.2400175999999998</v>
      </c>
      <c r="H83" s="3">
        <v>0.33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/>
      <c r="S83" s="3">
        <v>4.7279999999999998</v>
      </c>
      <c r="T83" s="2"/>
      <c r="U83" s="2"/>
      <c r="V83" s="3"/>
      <c r="W83" s="2"/>
      <c r="X83" s="2"/>
      <c r="Y83" s="3">
        <v>1.4219999999999999</v>
      </c>
      <c r="Z83" s="4">
        <v>0.33</v>
      </c>
      <c r="AA83" s="4">
        <f t="shared" si="3"/>
        <v>1.4219999999999999</v>
      </c>
    </row>
    <row r="84" spans="1:27" ht="16" x14ac:dyDescent="0.2">
      <c r="A84" s="3" t="s">
        <v>43</v>
      </c>
      <c r="B84" s="3" t="s">
        <v>4</v>
      </c>
      <c r="C84" s="3">
        <v>45</v>
      </c>
      <c r="D84" s="3" t="s">
        <v>46</v>
      </c>
      <c r="E84" s="3">
        <v>0.13</v>
      </c>
      <c r="F84" s="3">
        <v>0.14000000000000001</v>
      </c>
      <c r="G84" s="3">
        <f t="shared" si="2"/>
        <v>0.96526640000000008</v>
      </c>
      <c r="H84" s="3">
        <v>0.41599999999999998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  <c r="S84" s="3">
        <v>7.367</v>
      </c>
      <c r="T84" s="2"/>
      <c r="U84" s="2"/>
      <c r="V84" s="3"/>
      <c r="W84" s="2"/>
      <c r="X84" s="2"/>
      <c r="Y84" s="3">
        <v>4.0609999999999999</v>
      </c>
      <c r="Z84" s="4">
        <v>0.41599999999999998</v>
      </c>
      <c r="AA84" s="4">
        <f t="shared" si="3"/>
        <v>4.0609999999999999</v>
      </c>
    </row>
    <row r="85" spans="1:27" ht="16" x14ac:dyDescent="0.2">
      <c r="A85" s="3" t="s">
        <v>43</v>
      </c>
      <c r="B85" s="3" t="s">
        <v>4</v>
      </c>
      <c r="C85" s="3">
        <v>69</v>
      </c>
      <c r="D85" s="3" t="s">
        <v>46</v>
      </c>
      <c r="E85" s="3">
        <v>0.74</v>
      </c>
      <c r="F85" s="3">
        <v>1.1000000000000001</v>
      </c>
      <c r="G85" s="3">
        <f t="shared" si="2"/>
        <v>7.5842360000000006</v>
      </c>
      <c r="H85" s="3">
        <v>4.125</v>
      </c>
      <c r="I85" s="3">
        <v>0</v>
      </c>
      <c r="J85" s="3">
        <v>0.309</v>
      </c>
      <c r="K85" s="3">
        <v>0</v>
      </c>
      <c r="L85" s="3">
        <v>0.76200000000000001</v>
      </c>
      <c r="M85" s="3">
        <v>0.19800000000000001</v>
      </c>
      <c r="N85" s="3">
        <v>0</v>
      </c>
      <c r="O85" s="3">
        <v>0.28999999999999998</v>
      </c>
      <c r="P85" s="3">
        <v>0.16200000000000001</v>
      </c>
      <c r="Q85" s="3">
        <v>0</v>
      </c>
      <c r="R85" s="3"/>
      <c r="S85" s="3">
        <v>23.236999999999998</v>
      </c>
      <c r="T85" s="3">
        <v>5.718</v>
      </c>
      <c r="U85" s="3">
        <v>0</v>
      </c>
      <c r="V85" s="3"/>
      <c r="W85" s="2"/>
      <c r="X85" s="2"/>
      <c r="Y85" s="3">
        <v>19.931000000000001</v>
      </c>
      <c r="Z85" s="4">
        <v>6.9480000000000004</v>
      </c>
      <c r="AA85" s="4">
        <f t="shared" si="3"/>
        <v>18.662000000000003</v>
      </c>
    </row>
    <row r="86" spans="1:27" ht="16" x14ac:dyDescent="0.2">
      <c r="A86" s="3" t="s">
        <v>43</v>
      </c>
      <c r="B86" s="3" t="s">
        <v>4</v>
      </c>
      <c r="C86" s="3">
        <v>92</v>
      </c>
      <c r="D86" s="3" t="s">
        <v>46</v>
      </c>
      <c r="E86" s="3">
        <v>1.75</v>
      </c>
      <c r="F86" s="3">
        <v>2.2799999999999998</v>
      </c>
      <c r="G86" s="3">
        <f t="shared" si="2"/>
        <v>15.720052799999998</v>
      </c>
      <c r="H86" s="3">
        <v>4.1020000000000003</v>
      </c>
      <c r="I86" s="3">
        <v>0.60399999999999998</v>
      </c>
      <c r="J86" s="3">
        <v>2.6640000000000001</v>
      </c>
      <c r="K86" s="3">
        <v>0.63800000000000001</v>
      </c>
      <c r="L86" s="3">
        <v>4.6360000000000001</v>
      </c>
      <c r="M86" s="3">
        <v>0.85899999999999999</v>
      </c>
      <c r="N86" s="3">
        <v>1.4999999999999999E-2</v>
      </c>
      <c r="O86" s="3">
        <v>0.65200000000000002</v>
      </c>
      <c r="P86" s="3">
        <v>0.57599999999999996</v>
      </c>
      <c r="Q86" s="3">
        <v>0</v>
      </c>
      <c r="R86" s="3"/>
      <c r="S86" s="3">
        <v>49.289000000000001</v>
      </c>
      <c r="T86" s="2"/>
      <c r="U86" s="2"/>
      <c r="V86" s="3"/>
      <c r="W86" s="2"/>
      <c r="X86" s="2"/>
      <c r="Y86" s="3">
        <v>45.982999999999997</v>
      </c>
      <c r="Z86" s="4">
        <v>18.713999999999999</v>
      </c>
      <c r="AA86" s="4">
        <f t="shared" si="3"/>
        <v>37.204999999999998</v>
      </c>
    </row>
    <row r="87" spans="1:27" ht="16" x14ac:dyDescent="0.2">
      <c r="A87" s="3" t="s">
        <v>43</v>
      </c>
      <c r="B87" s="3" t="s">
        <v>4</v>
      </c>
      <c r="C87" s="3">
        <v>117</v>
      </c>
      <c r="D87" s="3" t="s">
        <v>46</v>
      </c>
      <c r="E87" s="3">
        <v>1.71</v>
      </c>
      <c r="F87" s="3">
        <v>2.84</v>
      </c>
      <c r="G87" s="3">
        <f t="shared" si="2"/>
        <v>19.581118399999998</v>
      </c>
      <c r="H87" s="3">
        <v>13.148999999999999</v>
      </c>
      <c r="I87" s="3">
        <v>3.6949999999999998</v>
      </c>
      <c r="J87" s="3">
        <v>5.2939999999999996</v>
      </c>
      <c r="K87" s="3">
        <v>1.7569999999999999</v>
      </c>
      <c r="L87" s="3">
        <v>7.375</v>
      </c>
      <c r="M87" s="3">
        <v>0.78200000000000003</v>
      </c>
      <c r="N87" s="3">
        <v>0.47799999999999998</v>
      </c>
      <c r="O87" s="3">
        <v>6.7000000000000004E-2</v>
      </c>
      <c r="P87" s="3">
        <v>0</v>
      </c>
      <c r="Q87" s="3">
        <v>0</v>
      </c>
      <c r="R87" s="3"/>
      <c r="S87" s="3">
        <v>56.091999999999999</v>
      </c>
      <c r="T87" s="3">
        <v>58.811999999999998</v>
      </c>
      <c r="U87" s="3">
        <v>5.1150000000000002</v>
      </c>
      <c r="V87" s="3"/>
      <c r="W87" s="2"/>
      <c r="X87" s="2"/>
      <c r="Y87" s="3">
        <v>52.786000000000001</v>
      </c>
      <c r="Z87" s="4">
        <v>35.747999999999998</v>
      </c>
      <c r="AA87" s="4">
        <f t="shared" si="3"/>
        <v>35.161999999999999</v>
      </c>
    </row>
    <row r="88" spans="1:27" ht="16" x14ac:dyDescent="0.2">
      <c r="A88" s="3" t="s">
        <v>43</v>
      </c>
      <c r="B88" s="3" t="s">
        <v>4</v>
      </c>
      <c r="C88" s="3">
        <v>142</v>
      </c>
      <c r="D88" s="3" t="s">
        <v>46</v>
      </c>
      <c r="E88" s="3">
        <v>1.42</v>
      </c>
      <c r="F88" s="3">
        <v>2.6</v>
      </c>
      <c r="G88" s="3">
        <f t="shared" si="2"/>
        <v>17.926376000000001</v>
      </c>
      <c r="H88" s="3">
        <v>22.797999999999998</v>
      </c>
      <c r="I88" s="3">
        <v>6.63</v>
      </c>
      <c r="J88" s="3">
        <v>7.5190000000000001</v>
      </c>
      <c r="K88" s="3">
        <v>2.1920000000000002</v>
      </c>
      <c r="L88" s="3">
        <v>10.173999999999999</v>
      </c>
      <c r="M88" s="3">
        <v>0.375</v>
      </c>
      <c r="N88" s="3">
        <v>0.72599999999999998</v>
      </c>
      <c r="O88" s="3">
        <v>0</v>
      </c>
      <c r="P88" s="3">
        <v>0</v>
      </c>
      <c r="Q88" s="3">
        <v>0</v>
      </c>
      <c r="R88" s="3"/>
      <c r="S88" s="3">
        <v>58.125</v>
      </c>
      <c r="T88" s="2"/>
      <c r="U88" s="2"/>
      <c r="V88" s="3"/>
      <c r="W88" s="2"/>
      <c r="X88" s="2"/>
      <c r="Y88" s="3">
        <v>54.819000000000003</v>
      </c>
      <c r="Z88" s="4">
        <v>53.707000000000001</v>
      </c>
      <c r="AA88" s="4">
        <f t="shared" si="3"/>
        <v>29.395000000000007</v>
      </c>
    </row>
    <row r="89" spans="1:27" ht="16" x14ac:dyDescent="0.2">
      <c r="A89" s="3" t="s">
        <v>43</v>
      </c>
      <c r="B89" s="3" t="s">
        <v>4</v>
      </c>
      <c r="C89" s="3">
        <v>168</v>
      </c>
      <c r="D89" s="3" t="s">
        <v>46</v>
      </c>
      <c r="E89" s="3">
        <v>1.21</v>
      </c>
      <c r="F89" s="3">
        <v>2.52</v>
      </c>
      <c r="G89" s="3">
        <f t="shared" si="2"/>
        <v>17.374795200000001</v>
      </c>
      <c r="H89" s="3">
        <v>23.667999999999999</v>
      </c>
      <c r="I89" s="3">
        <v>7.1879999999999997</v>
      </c>
      <c r="J89" s="3">
        <v>7.4729999999999999</v>
      </c>
      <c r="K89" s="3">
        <v>2.1110000000000002</v>
      </c>
      <c r="L89" s="3">
        <v>10.061999999999999</v>
      </c>
      <c r="M89" s="3">
        <v>0.33100000000000002</v>
      </c>
      <c r="N89" s="3">
        <v>0.69099999999999995</v>
      </c>
      <c r="O89" s="3">
        <v>0</v>
      </c>
      <c r="P89" s="3">
        <v>0</v>
      </c>
      <c r="Q89" s="3">
        <v>0</v>
      </c>
      <c r="R89" s="3"/>
      <c r="S89" s="3">
        <v>58.5</v>
      </c>
      <c r="T89" s="2"/>
      <c r="U89" s="2"/>
      <c r="V89" s="3"/>
      <c r="W89" s="2"/>
      <c r="X89" s="2"/>
      <c r="Y89" s="3">
        <v>55.194000000000003</v>
      </c>
      <c r="Z89" s="4">
        <v>54.656999999999996</v>
      </c>
      <c r="AA89" s="4">
        <f t="shared" si="3"/>
        <v>29.449000000000005</v>
      </c>
    </row>
    <row r="90" spans="1:27" ht="16" x14ac:dyDescent="0.2">
      <c r="A90" s="3" t="s">
        <v>43</v>
      </c>
      <c r="B90" s="3" t="s">
        <v>4</v>
      </c>
      <c r="C90" s="3">
        <v>190</v>
      </c>
      <c r="D90" s="3" t="s">
        <v>46</v>
      </c>
      <c r="E90" s="3">
        <v>0.74</v>
      </c>
      <c r="F90" s="3">
        <v>2.36</v>
      </c>
      <c r="G90" s="3">
        <f t="shared" si="2"/>
        <v>16.271633599999998</v>
      </c>
      <c r="H90" s="3">
        <v>22.469000000000001</v>
      </c>
      <c r="I90" s="3">
        <v>7.0380000000000003</v>
      </c>
      <c r="J90" s="3">
        <v>7.0469999999999997</v>
      </c>
      <c r="K90" s="3">
        <v>1.9359999999999999</v>
      </c>
      <c r="L90" s="3">
        <v>9.516</v>
      </c>
      <c r="M90" s="3">
        <v>0.252</v>
      </c>
      <c r="N90" s="3">
        <v>0.68200000000000005</v>
      </c>
      <c r="O90" s="3">
        <v>0</v>
      </c>
      <c r="P90" s="3">
        <v>0</v>
      </c>
      <c r="Q90" s="3">
        <v>0</v>
      </c>
      <c r="R90" s="3"/>
      <c r="S90" s="3">
        <v>59.615000000000002</v>
      </c>
      <c r="T90" s="3">
        <v>73.406000000000006</v>
      </c>
      <c r="U90" s="3">
        <v>5.6989999999999998</v>
      </c>
      <c r="V90" s="3"/>
      <c r="W90" s="2"/>
      <c r="X90" s="2"/>
      <c r="Y90" s="3">
        <v>56.308999999999997</v>
      </c>
      <c r="Z90" s="4">
        <v>51.81</v>
      </c>
      <c r="AA90" s="4">
        <f t="shared" si="3"/>
        <v>31.774000000000001</v>
      </c>
    </row>
    <row r="91" spans="1:27" s="10" customFormat="1" ht="16" x14ac:dyDescent="0.2">
      <c r="A91" s="6" t="s">
        <v>43</v>
      </c>
      <c r="B91" s="6" t="s">
        <v>4</v>
      </c>
      <c r="C91" s="6">
        <v>240</v>
      </c>
      <c r="D91" s="6" t="s">
        <v>46</v>
      </c>
      <c r="E91" s="6">
        <v>0.183</v>
      </c>
      <c r="F91" s="7"/>
      <c r="G91" s="3"/>
      <c r="H91" s="6">
        <v>22.053000000000001</v>
      </c>
      <c r="I91" s="6">
        <v>7.0650000000000004</v>
      </c>
      <c r="J91" s="6">
        <v>7.07</v>
      </c>
      <c r="K91" s="6">
        <v>1.772</v>
      </c>
      <c r="L91" s="6">
        <v>9.3179999999999996</v>
      </c>
      <c r="M91" s="6">
        <v>0.26400000000000001</v>
      </c>
      <c r="N91" s="6">
        <v>0.65500000000000003</v>
      </c>
      <c r="O91" s="6">
        <v>0</v>
      </c>
      <c r="P91" s="6">
        <v>0</v>
      </c>
      <c r="Q91" s="6">
        <v>0</v>
      </c>
      <c r="R91" s="6"/>
      <c r="S91" s="6">
        <v>77.039000000000001</v>
      </c>
      <c r="T91" s="6">
        <v>81.081000000000003</v>
      </c>
      <c r="U91" s="6">
        <v>8.26</v>
      </c>
      <c r="V91" s="6">
        <v>0</v>
      </c>
      <c r="W91" s="6">
        <v>6.52</v>
      </c>
      <c r="X91" s="6"/>
      <c r="Y91" s="6">
        <v>73.733000000000004</v>
      </c>
      <c r="Z91" s="11">
        <v>50.887999999999998</v>
      </c>
      <c r="AA91" s="11">
        <f t="shared" si="3"/>
        <v>49.361000000000004</v>
      </c>
    </row>
    <row r="92" spans="1:27" ht="16" x14ac:dyDescent="0.2">
      <c r="A92" s="3" t="s">
        <v>43</v>
      </c>
      <c r="B92" s="3" t="s">
        <v>47</v>
      </c>
      <c r="C92" s="3">
        <v>0</v>
      </c>
      <c r="D92" s="3" t="s">
        <v>44</v>
      </c>
      <c r="E92" s="3">
        <v>8.0000000000000002E-3</v>
      </c>
      <c r="F92" s="3">
        <v>0.6</v>
      </c>
      <c r="G92" s="3">
        <f t="shared" si="2"/>
        <v>4.1368559999999999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64.587999999999994</v>
      </c>
      <c r="S92" s="3">
        <v>2.1779999999999999</v>
      </c>
      <c r="T92" s="3">
        <v>0</v>
      </c>
      <c r="U92" s="3">
        <v>0</v>
      </c>
      <c r="V92" s="3"/>
      <c r="W92" s="3">
        <v>6.28</v>
      </c>
      <c r="X92" s="3">
        <v>0</v>
      </c>
      <c r="Y92" s="3">
        <v>0</v>
      </c>
      <c r="Z92" s="4"/>
      <c r="AA92" s="4"/>
    </row>
    <row r="93" spans="1:27" ht="16" x14ac:dyDescent="0.2">
      <c r="A93" s="3" t="s">
        <v>43</v>
      </c>
      <c r="B93" s="3" t="s">
        <v>47</v>
      </c>
      <c r="C93" s="3">
        <v>21</v>
      </c>
      <c r="D93" s="3" t="s">
        <v>44</v>
      </c>
      <c r="E93" s="3">
        <v>9.4E-2</v>
      </c>
      <c r="F93" s="3">
        <v>1.1599999999999999</v>
      </c>
      <c r="G93" s="3">
        <f t="shared" si="2"/>
        <v>7.9979215999999989</v>
      </c>
      <c r="H93" s="3">
        <v>1.08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63.301000000000002</v>
      </c>
      <c r="S93" s="3">
        <v>3.9430000000000001</v>
      </c>
      <c r="T93" s="2"/>
      <c r="U93" s="2"/>
      <c r="V93" s="3"/>
      <c r="W93" s="2"/>
      <c r="X93" s="3">
        <v>1.2869999999999999</v>
      </c>
      <c r="Y93" s="3">
        <v>1.7649999999999999</v>
      </c>
      <c r="Z93" s="4"/>
      <c r="AA93" s="4"/>
    </row>
    <row r="94" spans="1:27" ht="16" x14ac:dyDescent="0.2">
      <c r="A94" s="3" t="s">
        <v>43</v>
      </c>
      <c r="B94" s="3" t="s">
        <v>47</v>
      </c>
      <c r="C94" s="3">
        <v>45</v>
      </c>
      <c r="D94" s="3" t="s">
        <v>44</v>
      </c>
      <c r="E94" s="3">
        <v>0.98</v>
      </c>
      <c r="F94" s="3">
        <v>3.2</v>
      </c>
      <c r="G94" s="3">
        <f t="shared" si="2"/>
        <v>22.063231999999999</v>
      </c>
      <c r="H94" s="3">
        <v>10.727</v>
      </c>
      <c r="I94" s="3">
        <v>0</v>
      </c>
      <c r="J94" s="3">
        <v>5.6000000000000001E-2</v>
      </c>
      <c r="K94" s="3">
        <v>0.61199999999999999</v>
      </c>
      <c r="L94" s="3">
        <v>0</v>
      </c>
      <c r="M94" s="3">
        <v>0</v>
      </c>
      <c r="N94" s="3">
        <v>0</v>
      </c>
      <c r="O94" s="3">
        <v>1.64</v>
      </c>
      <c r="P94" s="3">
        <v>0</v>
      </c>
      <c r="Q94" s="3">
        <v>0.438</v>
      </c>
      <c r="R94" s="3">
        <v>45.613999999999997</v>
      </c>
      <c r="S94" s="3">
        <v>14.657</v>
      </c>
      <c r="T94" s="2"/>
      <c r="U94" s="2"/>
      <c r="V94" s="3"/>
      <c r="W94" s="2"/>
      <c r="X94" s="3">
        <v>18.974</v>
      </c>
      <c r="Y94" s="3">
        <v>12.478999999999999</v>
      </c>
      <c r="Z94" s="4"/>
      <c r="AA94" s="4"/>
    </row>
    <row r="95" spans="1:27" ht="16" x14ac:dyDescent="0.2">
      <c r="A95" s="3" t="s">
        <v>43</v>
      </c>
      <c r="B95" s="3" t="s">
        <v>47</v>
      </c>
      <c r="C95" s="3">
        <v>69</v>
      </c>
      <c r="D95" s="3" t="s">
        <v>44</v>
      </c>
      <c r="E95" s="3">
        <v>2.4</v>
      </c>
      <c r="F95" s="3">
        <v>5.78</v>
      </c>
      <c r="G95" s="3">
        <f t="shared" si="2"/>
        <v>39.851712800000001</v>
      </c>
      <c r="H95" s="3">
        <v>17.312000000000001</v>
      </c>
      <c r="I95" s="3">
        <v>0</v>
      </c>
      <c r="J95" s="3">
        <v>0.503</v>
      </c>
      <c r="K95" s="3">
        <v>3.048</v>
      </c>
      <c r="L95" s="3">
        <v>1.4239999999999999</v>
      </c>
      <c r="M95" s="3">
        <v>0.17899999999999999</v>
      </c>
      <c r="N95" s="3">
        <v>1.2E-2</v>
      </c>
      <c r="O95" s="3">
        <v>4.8529999999999998</v>
      </c>
      <c r="P95" s="3">
        <v>0.109</v>
      </c>
      <c r="Q95" s="3">
        <v>4.1269999999999998</v>
      </c>
      <c r="R95" s="3">
        <v>13.462999999999999</v>
      </c>
      <c r="S95" s="3">
        <v>34.957999999999998</v>
      </c>
      <c r="T95" s="3">
        <v>36.165999999999997</v>
      </c>
      <c r="U95" s="3">
        <v>5.9809999999999999</v>
      </c>
      <c r="V95" s="3"/>
      <c r="W95" s="2"/>
      <c r="X95" s="3">
        <v>51.125</v>
      </c>
      <c r="Y95" s="3">
        <v>32.78</v>
      </c>
      <c r="Z95" s="4"/>
      <c r="AA95" s="4"/>
    </row>
    <row r="96" spans="1:27" ht="16" x14ac:dyDescent="0.2">
      <c r="A96" s="3" t="s">
        <v>43</v>
      </c>
      <c r="B96" s="3" t="s">
        <v>47</v>
      </c>
      <c r="C96" s="3">
        <v>92</v>
      </c>
      <c r="D96" s="3" t="s">
        <v>44</v>
      </c>
      <c r="E96" s="3">
        <v>2.42</v>
      </c>
      <c r="F96" s="3">
        <v>5.82</v>
      </c>
      <c r="G96" s="3">
        <f t="shared" si="2"/>
        <v>40.1275032</v>
      </c>
      <c r="H96" s="3">
        <v>11.287000000000001</v>
      </c>
      <c r="I96" s="3">
        <v>0</v>
      </c>
      <c r="J96" s="3">
        <v>1.0049999999999999</v>
      </c>
      <c r="K96" s="3">
        <v>2.0760000000000001</v>
      </c>
      <c r="L96" s="3">
        <v>3.06</v>
      </c>
      <c r="M96" s="3">
        <v>0.28999999999999998</v>
      </c>
      <c r="N96" s="3">
        <v>2.5999999999999999E-2</v>
      </c>
      <c r="O96" s="3">
        <v>6.2320000000000002</v>
      </c>
      <c r="P96" s="3">
        <v>0.69</v>
      </c>
      <c r="Q96" s="3">
        <v>7.5759999999999996</v>
      </c>
      <c r="R96" s="3">
        <v>6.6609999999999996</v>
      </c>
      <c r="S96" s="3">
        <v>42.463000000000001</v>
      </c>
      <c r="T96" s="2"/>
      <c r="U96" s="2"/>
      <c r="V96" s="3"/>
      <c r="W96" s="2"/>
      <c r="X96" s="3">
        <v>57.927</v>
      </c>
      <c r="Y96" s="3">
        <v>40.284999999999997</v>
      </c>
      <c r="Z96" s="4"/>
      <c r="AA96" s="4"/>
    </row>
    <row r="97" spans="1:27" ht="16" x14ac:dyDescent="0.2">
      <c r="A97" s="3" t="s">
        <v>43</v>
      </c>
      <c r="B97" s="3" t="s">
        <v>47</v>
      </c>
      <c r="C97" s="3">
        <v>117</v>
      </c>
      <c r="D97" s="3" t="s">
        <v>44</v>
      </c>
      <c r="E97" s="3">
        <v>2.09</v>
      </c>
      <c r="F97" s="3">
        <v>5.4</v>
      </c>
      <c r="G97" s="3">
        <f t="shared" si="2"/>
        <v>37.231704000000001</v>
      </c>
      <c r="H97" s="3">
        <v>11.925000000000001</v>
      </c>
      <c r="I97" s="3">
        <v>0</v>
      </c>
      <c r="J97" s="3">
        <v>1.619</v>
      </c>
      <c r="K97" s="3">
        <v>1.907</v>
      </c>
      <c r="L97" s="3">
        <v>4.1509999999999998</v>
      </c>
      <c r="M97" s="3">
        <v>0.38600000000000001</v>
      </c>
      <c r="N97" s="3">
        <v>6.8000000000000005E-2</v>
      </c>
      <c r="O97" s="3">
        <v>6.8659999999999997</v>
      </c>
      <c r="P97" s="3">
        <v>1.099</v>
      </c>
      <c r="Q97" s="3">
        <v>9.4920000000000009</v>
      </c>
      <c r="R97" s="3">
        <v>5.1909999999999998</v>
      </c>
      <c r="S97" s="3">
        <v>52.927</v>
      </c>
      <c r="T97" s="3">
        <v>37.99</v>
      </c>
      <c r="U97" s="3">
        <v>6.0389999999999997</v>
      </c>
      <c r="V97" s="3"/>
      <c r="W97" s="2"/>
      <c r="X97" s="3">
        <v>59.396999999999998</v>
      </c>
      <c r="Y97" s="3">
        <v>50.749000000000002</v>
      </c>
      <c r="Z97" s="4"/>
      <c r="AA97" s="4"/>
    </row>
    <row r="98" spans="1:27" ht="16" x14ac:dyDescent="0.2">
      <c r="A98" s="3" t="s">
        <v>43</v>
      </c>
      <c r="B98" s="3" t="s">
        <v>47</v>
      </c>
      <c r="C98" s="3">
        <v>142</v>
      </c>
      <c r="D98" s="3" t="s">
        <v>44</v>
      </c>
      <c r="E98" s="3">
        <v>2.0299999999999998</v>
      </c>
      <c r="F98" s="3">
        <v>4.4400000000000004</v>
      </c>
      <c r="G98" s="3">
        <f t="shared" si="2"/>
        <v>30.612734400000001</v>
      </c>
      <c r="H98" s="3">
        <v>13.199</v>
      </c>
      <c r="I98" s="3">
        <v>0.19900000000000001</v>
      </c>
      <c r="J98" s="3">
        <v>2.4630000000000001</v>
      </c>
      <c r="K98" s="3">
        <v>2.4369999999999998</v>
      </c>
      <c r="L98" s="3">
        <v>4.7869999999999999</v>
      </c>
      <c r="M98" s="3">
        <v>0.215</v>
      </c>
      <c r="N98" s="3">
        <v>3.5999999999999997E-2</v>
      </c>
      <c r="O98" s="3">
        <v>7.7240000000000002</v>
      </c>
      <c r="P98" s="3">
        <v>1.345</v>
      </c>
      <c r="Q98" s="3">
        <v>9.7870000000000008</v>
      </c>
      <c r="R98" s="3">
        <v>5.5149999999999997</v>
      </c>
      <c r="S98" s="3">
        <v>51.671999999999997</v>
      </c>
      <c r="T98" s="2"/>
      <c r="U98" s="2"/>
      <c r="V98" s="3"/>
      <c r="W98" s="2"/>
      <c r="X98" s="3">
        <v>59.073</v>
      </c>
      <c r="Y98" s="3">
        <v>49.494</v>
      </c>
      <c r="Z98" s="4"/>
      <c r="AA98" s="4"/>
    </row>
    <row r="99" spans="1:27" ht="16" x14ac:dyDescent="0.2">
      <c r="A99" s="3" t="s">
        <v>43</v>
      </c>
      <c r="B99" s="3" t="s">
        <v>47</v>
      </c>
      <c r="C99" s="3">
        <v>168</v>
      </c>
      <c r="D99" s="3" t="s">
        <v>44</v>
      </c>
      <c r="E99" s="3">
        <v>1.87</v>
      </c>
      <c r="F99" s="3">
        <v>4.38</v>
      </c>
      <c r="G99" s="3">
        <f t="shared" si="2"/>
        <v>30.1990488</v>
      </c>
      <c r="H99" s="3">
        <v>14.46</v>
      </c>
      <c r="I99" s="3">
        <v>0.155</v>
      </c>
      <c r="J99" s="3">
        <v>2.605</v>
      </c>
      <c r="K99" s="3">
        <v>2.581</v>
      </c>
      <c r="L99" s="3">
        <v>4.9379999999999997</v>
      </c>
      <c r="M99" s="3">
        <v>0.254</v>
      </c>
      <c r="N99" s="3">
        <v>2.5999999999999999E-2</v>
      </c>
      <c r="O99" s="3">
        <v>7.8650000000000002</v>
      </c>
      <c r="P99" s="3">
        <v>1.3759999999999999</v>
      </c>
      <c r="Q99" s="3">
        <v>9.9960000000000004</v>
      </c>
      <c r="R99" s="3">
        <v>5.3109999999999999</v>
      </c>
      <c r="S99" s="3">
        <v>49.610999999999997</v>
      </c>
      <c r="T99" s="2"/>
      <c r="U99" s="2"/>
      <c r="V99" s="3"/>
      <c r="W99" s="2"/>
      <c r="X99" s="3">
        <v>59.277000000000001</v>
      </c>
      <c r="Y99" s="3">
        <v>47.433</v>
      </c>
      <c r="Z99" s="4"/>
      <c r="AA99" s="4"/>
    </row>
    <row r="100" spans="1:27" ht="16" x14ac:dyDescent="0.2">
      <c r="A100" s="3" t="s">
        <v>43</v>
      </c>
      <c r="B100" s="3" t="s">
        <v>47</v>
      </c>
      <c r="C100" s="3">
        <v>190</v>
      </c>
      <c r="D100" s="3" t="s">
        <v>44</v>
      </c>
      <c r="E100" s="3">
        <v>1.55</v>
      </c>
      <c r="F100" s="3">
        <v>4.22</v>
      </c>
      <c r="G100" s="3">
        <f t="shared" si="2"/>
        <v>29.095887199999996</v>
      </c>
      <c r="H100" s="3">
        <v>14.154999999999999</v>
      </c>
      <c r="I100" s="3">
        <v>0.191</v>
      </c>
      <c r="J100" s="3">
        <v>2.5449999999999999</v>
      </c>
      <c r="K100" s="3">
        <v>2.4569999999999999</v>
      </c>
      <c r="L100" s="3">
        <v>4.7619999999999996</v>
      </c>
      <c r="M100" s="3">
        <v>0.23499999999999999</v>
      </c>
      <c r="N100" s="3">
        <v>3.6999999999999998E-2</v>
      </c>
      <c r="O100" s="3">
        <v>7.492</v>
      </c>
      <c r="P100" s="3">
        <v>1.353</v>
      </c>
      <c r="Q100" s="3">
        <v>9.6029999999999998</v>
      </c>
      <c r="R100" s="3">
        <v>4.9740000000000002</v>
      </c>
      <c r="S100" s="3">
        <v>50.148000000000003</v>
      </c>
      <c r="T100" s="3">
        <v>40.115000000000002</v>
      </c>
      <c r="U100" s="3">
        <v>6.9470000000000001</v>
      </c>
      <c r="V100" s="3"/>
      <c r="W100" s="2"/>
      <c r="X100" s="3">
        <v>59.613999999999997</v>
      </c>
      <c r="Y100" s="3">
        <v>47.97</v>
      </c>
      <c r="Z100" s="4"/>
      <c r="AA100" s="4"/>
    </row>
    <row r="101" spans="1:27" ht="16" x14ac:dyDescent="0.2">
      <c r="A101" s="3" t="s">
        <v>43</v>
      </c>
      <c r="B101" s="3" t="s">
        <v>47</v>
      </c>
      <c r="C101" s="3">
        <v>240</v>
      </c>
      <c r="D101" s="3" t="s">
        <v>44</v>
      </c>
      <c r="E101" s="3">
        <v>1.02</v>
      </c>
      <c r="F101" s="2"/>
      <c r="G101" s="3"/>
      <c r="H101" s="3">
        <v>15.835000000000001</v>
      </c>
      <c r="I101" s="3">
        <v>0.22500000000000001</v>
      </c>
      <c r="J101" s="3">
        <v>2.7829999999999999</v>
      </c>
      <c r="K101" s="3">
        <v>2.7080000000000002</v>
      </c>
      <c r="L101" s="3">
        <v>5.2880000000000003</v>
      </c>
      <c r="M101" s="3">
        <v>0.30099999999999999</v>
      </c>
      <c r="N101" s="3">
        <v>5.2999999999999999E-2</v>
      </c>
      <c r="O101" s="3">
        <v>8.0920000000000005</v>
      </c>
      <c r="P101" s="3">
        <v>1.5029999999999999</v>
      </c>
      <c r="Q101" s="3">
        <v>10.294</v>
      </c>
      <c r="R101" s="3">
        <v>4.8680000000000003</v>
      </c>
      <c r="S101" s="3">
        <v>56.75</v>
      </c>
      <c r="T101" s="3">
        <v>45.752000000000002</v>
      </c>
      <c r="U101" s="3">
        <v>8.1159999999999997</v>
      </c>
      <c r="V101" s="3">
        <v>1.1359999999999999</v>
      </c>
      <c r="W101" s="3">
        <v>7.11</v>
      </c>
      <c r="X101" s="3">
        <v>59.72</v>
      </c>
      <c r="Y101" s="3">
        <v>54.572000000000003</v>
      </c>
      <c r="Z101" s="4"/>
      <c r="AA101" s="4"/>
    </row>
    <row r="102" spans="1:27" ht="16" x14ac:dyDescent="0.2">
      <c r="A102" s="3" t="s">
        <v>43</v>
      </c>
      <c r="B102" s="3" t="s">
        <v>47</v>
      </c>
      <c r="C102" s="3">
        <v>0</v>
      </c>
      <c r="D102" s="3" t="s">
        <v>45</v>
      </c>
      <c r="E102" s="3">
        <v>7.0000000000000001E-3</v>
      </c>
      <c r="F102" s="3">
        <v>0.6</v>
      </c>
      <c r="G102" s="3">
        <f t="shared" si="2"/>
        <v>4.1368559999999999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66.412000000000006</v>
      </c>
      <c r="S102" s="3">
        <v>2.839</v>
      </c>
      <c r="T102" s="3">
        <v>0</v>
      </c>
      <c r="U102" s="3">
        <v>0</v>
      </c>
      <c r="V102" s="3"/>
      <c r="W102" s="3">
        <v>6.28</v>
      </c>
      <c r="X102" s="3">
        <v>0</v>
      </c>
      <c r="Y102" s="3">
        <v>0</v>
      </c>
      <c r="Z102" s="4"/>
      <c r="AA102" s="4"/>
    </row>
    <row r="103" spans="1:27" ht="16" x14ac:dyDescent="0.2">
      <c r="A103" s="3" t="s">
        <v>43</v>
      </c>
      <c r="B103" s="3" t="s">
        <v>47</v>
      </c>
      <c r="C103" s="3">
        <v>21</v>
      </c>
      <c r="D103" s="3" t="s">
        <v>45</v>
      </c>
      <c r="E103" s="3">
        <v>0.124</v>
      </c>
      <c r="F103" s="3">
        <v>1.34</v>
      </c>
      <c r="G103" s="3">
        <f t="shared" si="2"/>
        <v>9.2389784000000006</v>
      </c>
      <c r="H103" s="3">
        <v>1.369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2.5999999999999999E-2</v>
      </c>
      <c r="P103" s="3">
        <v>0</v>
      </c>
      <c r="Q103" s="3">
        <v>0</v>
      </c>
      <c r="R103" s="3">
        <v>64.679000000000002</v>
      </c>
      <c r="S103" s="3">
        <v>4.0439999999999996</v>
      </c>
      <c r="T103" s="2"/>
      <c r="U103" s="2"/>
      <c r="V103" s="3"/>
      <c r="W103" s="2"/>
      <c r="X103" s="3">
        <v>1.7330000000000001</v>
      </c>
      <c r="Y103" s="3">
        <v>1.2050000000000001</v>
      </c>
      <c r="Z103" s="4"/>
      <c r="AA103" s="4"/>
    </row>
    <row r="104" spans="1:27" ht="16" x14ac:dyDescent="0.2">
      <c r="A104" s="3" t="s">
        <v>43</v>
      </c>
      <c r="B104" s="3" t="s">
        <v>47</v>
      </c>
      <c r="C104" s="3">
        <v>45</v>
      </c>
      <c r="D104" s="3" t="s">
        <v>45</v>
      </c>
      <c r="E104" s="3">
        <v>1.18</v>
      </c>
      <c r="F104" s="3">
        <v>3.68</v>
      </c>
      <c r="G104" s="3">
        <f t="shared" si="2"/>
        <v>25.372716799999999</v>
      </c>
      <c r="H104" s="3">
        <v>11.37</v>
      </c>
      <c r="I104" s="3">
        <v>0</v>
      </c>
      <c r="J104" s="3">
        <v>6.7000000000000004E-2</v>
      </c>
      <c r="K104" s="3">
        <v>0.871</v>
      </c>
      <c r="L104" s="3">
        <v>0</v>
      </c>
      <c r="M104" s="3">
        <v>0.01</v>
      </c>
      <c r="N104" s="3">
        <v>0</v>
      </c>
      <c r="O104" s="3">
        <v>2.073</v>
      </c>
      <c r="P104" s="3">
        <v>0</v>
      </c>
      <c r="Q104" s="3">
        <v>0.755</v>
      </c>
      <c r="R104" s="3">
        <v>40.893999999999998</v>
      </c>
      <c r="S104" s="3">
        <v>16.97</v>
      </c>
      <c r="T104" s="2"/>
      <c r="U104" s="2"/>
      <c r="V104" s="3"/>
      <c r="W104" s="2"/>
      <c r="X104" s="3">
        <v>25.518000000000001</v>
      </c>
      <c r="Y104" s="3">
        <v>14.131</v>
      </c>
      <c r="Z104" s="4"/>
      <c r="AA104" s="4"/>
    </row>
    <row r="105" spans="1:27" ht="16" x14ac:dyDescent="0.2">
      <c r="A105" s="3" t="s">
        <v>43</v>
      </c>
      <c r="B105" s="3" t="s">
        <v>47</v>
      </c>
      <c r="C105" s="3">
        <v>69</v>
      </c>
      <c r="D105" s="3" t="s">
        <v>45</v>
      </c>
      <c r="E105" s="3">
        <v>2</v>
      </c>
      <c r="F105" s="3">
        <v>5.92</v>
      </c>
      <c r="G105" s="3">
        <f t="shared" si="2"/>
        <v>40.816979199999999</v>
      </c>
      <c r="H105" s="3">
        <v>16.968</v>
      </c>
      <c r="I105" s="3">
        <v>0</v>
      </c>
      <c r="J105" s="3">
        <v>0.42199999999999999</v>
      </c>
      <c r="K105" s="3">
        <v>3.1819999999999999</v>
      </c>
      <c r="L105" s="3">
        <v>1.3440000000000001</v>
      </c>
      <c r="M105" s="3">
        <v>0.191</v>
      </c>
      <c r="N105" s="3">
        <v>0</v>
      </c>
      <c r="O105" s="3">
        <v>4.915</v>
      </c>
      <c r="P105" s="3">
        <v>0.157</v>
      </c>
      <c r="Q105" s="3">
        <v>4.1619999999999999</v>
      </c>
      <c r="R105" s="3">
        <v>14.404999999999999</v>
      </c>
      <c r="S105" s="3">
        <v>32.420999999999999</v>
      </c>
      <c r="T105" s="3">
        <v>41.026000000000003</v>
      </c>
      <c r="U105" s="3">
        <v>6.9930000000000003</v>
      </c>
      <c r="V105" s="3"/>
      <c r="W105" s="2"/>
      <c r="X105" s="3">
        <v>52.006999999999998</v>
      </c>
      <c r="Y105" s="3">
        <v>29.582000000000001</v>
      </c>
      <c r="Z105" s="4"/>
      <c r="AA105" s="4"/>
    </row>
    <row r="106" spans="1:27" ht="16" x14ac:dyDescent="0.2">
      <c r="A106" s="3" t="s">
        <v>43</v>
      </c>
      <c r="B106" s="3" t="s">
        <v>47</v>
      </c>
      <c r="C106" s="3">
        <v>92</v>
      </c>
      <c r="D106" s="3" t="s">
        <v>45</v>
      </c>
      <c r="E106" s="3">
        <v>2.04</v>
      </c>
      <c r="F106" s="3">
        <v>6.02</v>
      </c>
      <c r="G106" s="3">
        <f t="shared" si="2"/>
        <v>41.506455199999998</v>
      </c>
      <c r="H106" s="3">
        <v>13.618</v>
      </c>
      <c r="I106" s="3">
        <v>0</v>
      </c>
      <c r="J106" s="3">
        <v>1.323</v>
      </c>
      <c r="K106" s="3">
        <v>2.2759999999999998</v>
      </c>
      <c r="L106" s="3">
        <v>3.395</v>
      </c>
      <c r="M106" s="3">
        <v>0.313</v>
      </c>
      <c r="N106" s="3">
        <v>3.4000000000000002E-2</v>
      </c>
      <c r="O106" s="3">
        <v>7.14</v>
      </c>
      <c r="P106" s="3">
        <v>0.81200000000000006</v>
      </c>
      <c r="Q106" s="3">
        <v>7.8259999999999996</v>
      </c>
      <c r="R106" s="3">
        <v>8.5269999999999992</v>
      </c>
      <c r="S106" s="3">
        <v>45.899000000000001</v>
      </c>
      <c r="T106" s="2"/>
      <c r="U106" s="2"/>
      <c r="V106" s="3"/>
      <c r="W106" s="2"/>
      <c r="X106" s="3">
        <v>57.884999999999998</v>
      </c>
      <c r="Y106" s="3">
        <v>43.06</v>
      </c>
      <c r="Z106" s="4"/>
      <c r="AA106" s="4"/>
    </row>
    <row r="107" spans="1:27" ht="16" x14ac:dyDescent="0.2">
      <c r="A107" s="3" t="s">
        <v>43</v>
      </c>
      <c r="B107" s="3" t="s">
        <v>47</v>
      </c>
      <c r="C107" s="3">
        <v>117</v>
      </c>
      <c r="D107" s="3" t="s">
        <v>45</v>
      </c>
      <c r="E107" s="3">
        <v>1.8</v>
      </c>
      <c r="F107" s="3">
        <v>5.34</v>
      </c>
      <c r="G107" s="3">
        <f t="shared" si="2"/>
        <v>36.8180184</v>
      </c>
      <c r="H107" s="3">
        <v>12.831</v>
      </c>
      <c r="I107" s="3">
        <v>0</v>
      </c>
      <c r="J107" s="3">
        <v>1.7490000000000001</v>
      </c>
      <c r="K107" s="3">
        <v>1.9510000000000001</v>
      </c>
      <c r="L107" s="3">
        <v>4.0410000000000004</v>
      </c>
      <c r="M107" s="3">
        <v>0.35899999999999999</v>
      </c>
      <c r="N107" s="3">
        <v>8.7999999999999995E-2</v>
      </c>
      <c r="O107" s="3">
        <v>7.0629999999999997</v>
      </c>
      <c r="P107" s="3">
        <v>1.075</v>
      </c>
      <c r="Q107" s="3">
        <v>9.4480000000000004</v>
      </c>
      <c r="R107" s="3">
        <v>5.8920000000000003</v>
      </c>
      <c r="S107" s="3">
        <v>48.753</v>
      </c>
      <c r="T107" s="3">
        <v>43.805999999999997</v>
      </c>
      <c r="U107" s="3">
        <v>7.6479999999999997</v>
      </c>
      <c r="V107" s="3"/>
      <c r="W107" s="2"/>
      <c r="X107" s="3">
        <v>60.52</v>
      </c>
      <c r="Y107" s="3">
        <v>45.914000000000001</v>
      </c>
      <c r="Z107" s="4"/>
      <c r="AA107" s="4"/>
    </row>
    <row r="108" spans="1:27" ht="16" x14ac:dyDescent="0.2">
      <c r="A108" s="3" t="s">
        <v>43</v>
      </c>
      <c r="B108" s="3" t="s">
        <v>47</v>
      </c>
      <c r="C108" s="3">
        <v>142</v>
      </c>
      <c r="D108" s="3" t="s">
        <v>45</v>
      </c>
      <c r="E108" s="3">
        <v>1.69</v>
      </c>
      <c r="F108" s="3">
        <v>4.5999999999999996</v>
      </c>
      <c r="G108" s="3">
        <f t="shared" si="2"/>
        <v>31.715895999999997</v>
      </c>
      <c r="H108" s="3">
        <v>15.218999999999999</v>
      </c>
      <c r="I108" s="3">
        <v>0.128</v>
      </c>
      <c r="J108" s="3">
        <v>2.621</v>
      </c>
      <c r="K108" s="3">
        <v>2.6680000000000001</v>
      </c>
      <c r="L108" s="3">
        <v>4.83</v>
      </c>
      <c r="M108" s="3">
        <v>0.253</v>
      </c>
      <c r="N108" s="3">
        <v>4.3999999999999997E-2</v>
      </c>
      <c r="O108" s="3">
        <v>8.1880000000000006</v>
      </c>
      <c r="P108" s="3">
        <v>1.45</v>
      </c>
      <c r="Q108" s="3">
        <v>10.262</v>
      </c>
      <c r="R108" s="3">
        <v>6.3540000000000001</v>
      </c>
      <c r="S108" s="3">
        <v>54.280999999999999</v>
      </c>
      <c r="T108" s="2"/>
      <c r="U108" s="2"/>
      <c r="V108" s="3"/>
      <c r="W108" s="2"/>
      <c r="X108" s="3">
        <v>60.058</v>
      </c>
      <c r="Y108" s="3">
        <v>51.442</v>
      </c>
      <c r="Z108" s="4"/>
      <c r="AA108" s="4"/>
    </row>
    <row r="109" spans="1:27" ht="16" x14ac:dyDescent="0.2">
      <c r="A109" s="3" t="s">
        <v>43</v>
      </c>
      <c r="B109" s="3" t="s">
        <v>47</v>
      </c>
      <c r="C109" s="3">
        <v>168</v>
      </c>
      <c r="D109" s="3" t="s">
        <v>45</v>
      </c>
      <c r="E109" s="3">
        <v>1.58</v>
      </c>
      <c r="F109" s="3">
        <v>4.5</v>
      </c>
      <c r="G109" s="3">
        <f t="shared" si="2"/>
        <v>31.026419999999998</v>
      </c>
      <c r="H109" s="3">
        <v>15.224</v>
      </c>
      <c r="I109" s="3">
        <v>6.2E-2</v>
      </c>
      <c r="J109" s="3">
        <v>2.56</v>
      </c>
      <c r="K109" s="3">
        <v>2.7090000000000001</v>
      </c>
      <c r="L109" s="3">
        <v>4.6459999999999999</v>
      </c>
      <c r="M109" s="3">
        <v>0.26200000000000001</v>
      </c>
      <c r="N109" s="3">
        <v>1.0999999999999999E-2</v>
      </c>
      <c r="O109" s="3">
        <v>7.6779999999999999</v>
      </c>
      <c r="P109" s="3">
        <v>1.4430000000000001</v>
      </c>
      <c r="Q109" s="3">
        <v>10.081</v>
      </c>
      <c r="R109" s="3">
        <v>6.085</v>
      </c>
      <c r="S109" s="3">
        <v>53.081000000000003</v>
      </c>
      <c r="T109" s="2"/>
      <c r="U109" s="2"/>
      <c r="V109" s="3"/>
      <c r="W109" s="2"/>
      <c r="X109" s="3">
        <v>60.326999999999998</v>
      </c>
      <c r="Y109" s="3">
        <v>50.241999999999997</v>
      </c>
      <c r="Z109" s="4"/>
      <c r="AA109" s="4"/>
    </row>
    <row r="110" spans="1:27" ht="16" x14ac:dyDescent="0.2">
      <c r="A110" s="3" t="s">
        <v>43</v>
      </c>
      <c r="B110" s="3" t="s">
        <v>47</v>
      </c>
      <c r="C110" s="3">
        <v>190</v>
      </c>
      <c r="D110" s="3" t="s">
        <v>45</v>
      </c>
      <c r="E110" s="3">
        <v>1.42</v>
      </c>
      <c r="F110" s="3">
        <v>4.3600000000000003</v>
      </c>
      <c r="G110" s="3">
        <f t="shared" si="2"/>
        <v>30.061153600000001</v>
      </c>
      <c r="H110" s="3">
        <v>15.532999999999999</v>
      </c>
      <c r="I110" s="3">
        <v>7.8E-2</v>
      </c>
      <c r="J110" s="3">
        <v>2.7970000000000002</v>
      </c>
      <c r="K110" s="3">
        <v>2.919</v>
      </c>
      <c r="L110" s="3">
        <v>5.14</v>
      </c>
      <c r="M110" s="3">
        <v>0.307</v>
      </c>
      <c r="N110" s="3">
        <v>5.8999999999999997E-2</v>
      </c>
      <c r="O110" s="3">
        <v>8.2100000000000009</v>
      </c>
      <c r="P110" s="3">
        <v>1.6080000000000001</v>
      </c>
      <c r="Q110" s="3">
        <v>10.935</v>
      </c>
      <c r="R110" s="3">
        <v>5.9169999999999998</v>
      </c>
      <c r="S110" s="3">
        <v>55.091999999999999</v>
      </c>
      <c r="T110" s="3">
        <v>45.274999999999999</v>
      </c>
      <c r="U110" s="3">
        <v>7.5190000000000001</v>
      </c>
      <c r="V110" s="3"/>
      <c r="W110" s="2"/>
      <c r="X110" s="3">
        <v>60.494999999999997</v>
      </c>
      <c r="Y110" s="3">
        <v>52.253</v>
      </c>
      <c r="Z110" s="4"/>
      <c r="AA110" s="4"/>
    </row>
    <row r="111" spans="1:27" ht="16" x14ac:dyDescent="0.2">
      <c r="A111" s="3" t="s">
        <v>43</v>
      </c>
      <c r="B111" s="3" t="s">
        <v>47</v>
      </c>
      <c r="C111" s="3">
        <v>240</v>
      </c>
      <c r="D111" s="3" t="s">
        <v>45</v>
      </c>
      <c r="E111" s="3">
        <v>0.79</v>
      </c>
      <c r="F111" s="2"/>
      <c r="G111" s="3"/>
      <c r="H111" s="3">
        <v>13.709</v>
      </c>
      <c r="I111" s="3">
        <v>0</v>
      </c>
      <c r="J111" s="3">
        <v>2.4289999999999998</v>
      </c>
      <c r="K111" s="3">
        <v>2.3849999999999998</v>
      </c>
      <c r="L111" s="3">
        <v>4.3970000000000002</v>
      </c>
      <c r="M111" s="3">
        <v>0.23499999999999999</v>
      </c>
      <c r="N111" s="3">
        <v>0</v>
      </c>
      <c r="O111" s="3">
        <v>6.8490000000000002</v>
      </c>
      <c r="P111" s="3">
        <v>1.4690000000000001</v>
      </c>
      <c r="Q111" s="3">
        <v>9.4499999999999993</v>
      </c>
      <c r="R111" s="3">
        <v>5.7839999999999998</v>
      </c>
      <c r="S111" s="3">
        <v>62.018000000000001</v>
      </c>
      <c r="T111" s="3">
        <v>48.222999999999999</v>
      </c>
      <c r="U111" s="3">
        <v>8.5709999999999997</v>
      </c>
      <c r="V111" s="3">
        <v>0.86599999999999999</v>
      </c>
      <c r="W111" s="3">
        <v>7.15</v>
      </c>
      <c r="X111" s="3">
        <v>60.628</v>
      </c>
      <c r="Y111" s="3">
        <v>59.179000000000002</v>
      </c>
      <c r="Z111" s="4"/>
      <c r="AA111" s="4"/>
    </row>
    <row r="112" spans="1:27" ht="16" x14ac:dyDescent="0.2">
      <c r="A112" s="3" t="s">
        <v>43</v>
      </c>
      <c r="B112" s="3" t="s">
        <v>47</v>
      </c>
      <c r="C112" s="3">
        <v>0</v>
      </c>
      <c r="D112" s="3" t="s">
        <v>46</v>
      </c>
      <c r="E112" s="3">
        <v>8.0000000000000002E-3</v>
      </c>
      <c r="F112" s="3">
        <v>0.6</v>
      </c>
      <c r="G112" s="3">
        <f t="shared" si="2"/>
        <v>4.1368559999999999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64.41</v>
      </c>
      <c r="S112" s="3">
        <v>2.2970000000000002</v>
      </c>
      <c r="T112" s="3">
        <v>0</v>
      </c>
      <c r="U112" s="3">
        <v>0</v>
      </c>
      <c r="V112" s="3"/>
      <c r="W112" s="3">
        <v>6.28</v>
      </c>
      <c r="X112" s="3">
        <v>0</v>
      </c>
      <c r="Y112" s="3">
        <v>0</v>
      </c>
      <c r="Z112" s="4"/>
      <c r="AA112" s="4"/>
    </row>
    <row r="113" spans="1:27" ht="16" x14ac:dyDescent="0.2">
      <c r="A113" s="3" t="s">
        <v>43</v>
      </c>
      <c r="B113" s="3" t="s">
        <v>47</v>
      </c>
      <c r="C113" s="3">
        <v>21</v>
      </c>
      <c r="D113" s="3" t="s">
        <v>46</v>
      </c>
      <c r="E113" s="3">
        <v>0.16400000000000001</v>
      </c>
      <c r="F113" s="3">
        <v>1.34</v>
      </c>
      <c r="G113" s="3">
        <f t="shared" si="2"/>
        <v>9.2389784000000006</v>
      </c>
      <c r="H113" s="3">
        <v>2.7749999999999999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6.4000000000000001E-2</v>
      </c>
      <c r="P113" s="3">
        <v>0</v>
      </c>
      <c r="Q113" s="3">
        <v>0</v>
      </c>
      <c r="R113" s="3">
        <v>62.238</v>
      </c>
      <c r="S113" s="3">
        <v>4.5490000000000004</v>
      </c>
      <c r="T113" s="2"/>
      <c r="U113" s="2"/>
      <c r="V113" s="3"/>
      <c r="W113" s="2"/>
      <c r="X113" s="3">
        <v>2.1720000000000002</v>
      </c>
      <c r="Y113" s="3">
        <v>2.2519999999999998</v>
      </c>
      <c r="Z113" s="4"/>
      <c r="AA113" s="4"/>
    </row>
    <row r="114" spans="1:27" ht="16" x14ac:dyDescent="0.2">
      <c r="A114" s="3" t="s">
        <v>43</v>
      </c>
      <c r="B114" s="3" t="s">
        <v>47</v>
      </c>
      <c r="C114" s="3">
        <v>45</v>
      </c>
      <c r="D114" s="3" t="s">
        <v>46</v>
      </c>
      <c r="E114" s="3">
        <v>1.32</v>
      </c>
      <c r="F114" s="3">
        <v>4.16</v>
      </c>
      <c r="G114" s="3">
        <f t="shared" si="2"/>
        <v>28.682201599999999</v>
      </c>
      <c r="H114" s="3">
        <v>26.946999999999999</v>
      </c>
      <c r="I114" s="3">
        <v>0</v>
      </c>
      <c r="J114" s="3">
        <v>5.8000000000000003E-2</v>
      </c>
      <c r="K114" s="3">
        <v>1.1399999999999999</v>
      </c>
      <c r="L114" s="3">
        <v>7.8E-2</v>
      </c>
      <c r="M114" s="3">
        <v>3.9E-2</v>
      </c>
      <c r="N114" s="3">
        <v>0</v>
      </c>
      <c r="O114" s="3">
        <v>1.9379999999999999</v>
      </c>
      <c r="P114" s="3">
        <v>0</v>
      </c>
      <c r="Q114" s="3">
        <v>0</v>
      </c>
      <c r="R114" s="3">
        <v>27.312999999999999</v>
      </c>
      <c r="S114" s="3">
        <v>17.715</v>
      </c>
      <c r="T114" s="2"/>
      <c r="U114" s="2"/>
      <c r="V114" s="3"/>
      <c r="W114" s="2"/>
      <c r="X114" s="3">
        <v>37.097000000000001</v>
      </c>
      <c r="Y114" s="3">
        <v>15.417999999999999</v>
      </c>
      <c r="Z114" s="4"/>
      <c r="AA114" s="4"/>
    </row>
    <row r="115" spans="1:27" ht="16" x14ac:dyDescent="0.2">
      <c r="A115" s="3" t="s">
        <v>43</v>
      </c>
      <c r="B115" s="3" t="s">
        <v>47</v>
      </c>
      <c r="C115" s="3">
        <v>69</v>
      </c>
      <c r="D115" s="3" t="s">
        <v>46</v>
      </c>
      <c r="E115" s="3">
        <v>1.87</v>
      </c>
      <c r="F115" s="3">
        <v>5.5</v>
      </c>
      <c r="G115" s="3">
        <f t="shared" si="2"/>
        <v>37.92118</v>
      </c>
      <c r="H115" s="3">
        <v>20.919</v>
      </c>
      <c r="I115" s="3">
        <v>0</v>
      </c>
      <c r="J115" s="3">
        <v>0.56599999999999995</v>
      </c>
      <c r="K115" s="3">
        <v>2.7450000000000001</v>
      </c>
      <c r="L115" s="3">
        <v>1.8220000000000001</v>
      </c>
      <c r="M115" s="3">
        <v>0.214</v>
      </c>
      <c r="N115" s="3">
        <v>0</v>
      </c>
      <c r="O115" s="3">
        <v>5.9960000000000004</v>
      </c>
      <c r="P115" s="3">
        <v>0.39</v>
      </c>
      <c r="Q115" s="3">
        <v>4.4619999999999997</v>
      </c>
      <c r="R115" s="3">
        <v>16.125</v>
      </c>
      <c r="S115" s="3">
        <v>38.720999999999997</v>
      </c>
      <c r="T115" s="3">
        <v>38.506999999999998</v>
      </c>
      <c r="U115" s="3">
        <v>5.5709999999999997</v>
      </c>
      <c r="V115" s="3"/>
      <c r="W115" s="2"/>
      <c r="X115" s="3">
        <v>48.284999999999997</v>
      </c>
      <c r="Y115" s="3">
        <v>36.423999999999999</v>
      </c>
      <c r="Z115" s="4"/>
      <c r="AA115" s="4"/>
    </row>
    <row r="116" spans="1:27" ht="16" x14ac:dyDescent="0.2">
      <c r="A116" s="3" t="s">
        <v>43</v>
      </c>
      <c r="B116" s="3" t="s">
        <v>47</v>
      </c>
      <c r="C116" s="3">
        <v>92</v>
      </c>
      <c r="D116" s="3" t="s">
        <v>46</v>
      </c>
      <c r="E116" s="3">
        <v>1.98</v>
      </c>
      <c r="F116" s="3">
        <v>5.16</v>
      </c>
      <c r="G116" s="3">
        <f t="shared" si="2"/>
        <v>35.576961599999997</v>
      </c>
      <c r="H116" s="3">
        <v>16.672999999999998</v>
      </c>
      <c r="I116" s="3">
        <v>0</v>
      </c>
      <c r="J116" s="3">
        <v>1.2569999999999999</v>
      </c>
      <c r="K116" s="3">
        <v>2.298</v>
      </c>
      <c r="L116" s="3">
        <v>3.468</v>
      </c>
      <c r="M116" s="3">
        <v>0.312</v>
      </c>
      <c r="N116" s="3">
        <v>0</v>
      </c>
      <c r="O116" s="3">
        <v>7.0410000000000004</v>
      </c>
      <c r="P116" s="3">
        <v>0.88400000000000001</v>
      </c>
      <c r="Q116" s="3">
        <v>7.9240000000000004</v>
      </c>
      <c r="R116" s="3">
        <v>9.7469999999999999</v>
      </c>
      <c r="S116" s="3">
        <v>45.899000000000001</v>
      </c>
      <c r="T116" s="2"/>
      <c r="U116" s="2"/>
      <c r="V116" s="3"/>
      <c r="W116" s="2"/>
      <c r="X116" s="3">
        <v>54.662999999999997</v>
      </c>
      <c r="Y116" s="3">
        <v>43.601999999999997</v>
      </c>
      <c r="Z116" s="4"/>
      <c r="AA116" s="4"/>
    </row>
    <row r="117" spans="1:27" ht="16" x14ac:dyDescent="0.2">
      <c r="A117" s="3" t="s">
        <v>43</v>
      </c>
      <c r="B117" s="3" t="s">
        <v>47</v>
      </c>
      <c r="C117" s="3">
        <v>117</v>
      </c>
      <c r="D117" s="3" t="s">
        <v>46</v>
      </c>
      <c r="E117" s="3">
        <v>1.74</v>
      </c>
      <c r="F117" s="3">
        <v>4.5599999999999996</v>
      </c>
      <c r="G117" s="3">
        <f t="shared" si="2"/>
        <v>31.440105599999995</v>
      </c>
      <c r="H117" s="3">
        <v>16.094999999999999</v>
      </c>
      <c r="I117" s="3">
        <v>0</v>
      </c>
      <c r="J117" s="3">
        <v>1.5669999999999999</v>
      </c>
      <c r="K117" s="3">
        <v>2.0840000000000001</v>
      </c>
      <c r="L117" s="3">
        <v>4.08</v>
      </c>
      <c r="M117" s="3">
        <v>0.31900000000000001</v>
      </c>
      <c r="N117" s="3">
        <v>2.3E-2</v>
      </c>
      <c r="O117" s="3">
        <v>7.1909999999999998</v>
      </c>
      <c r="P117" s="3">
        <v>1.0269999999999999</v>
      </c>
      <c r="Q117" s="3">
        <v>8.6829999999999998</v>
      </c>
      <c r="R117" s="3">
        <v>7.8730000000000002</v>
      </c>
      <c r="S117" s="3">
        <v>47.962000000000003</v>
      </c>
      <c r="T117" s="3">
        <v>44.890999999999998</v>
      </c>
      <c r="U117" s="3">
        <v>6.2709999999999999</v>
      </c>
      <c r="V117" s="3"/>
      <c r="W117" s="2"/>
      <c r="X117" s="3">
        <v>56.536999999999999</v>
      </c>
      <c r="Y117" s="3">
        <v>45.664999999999999</v>
      </c>
      <c r="Z117" s="4"/>
      <c r="AA117" s="4"/>
    </row>
    <row r="118" spans="1:27" ht="16" x14ac:dyDescent="0.2">
      <c r="A118" s="3" t="s">
        <v>43</v>
      </c>
      <c r="B118" s="3" t="s">
        <v>47</v>
      </c>
      <c r="C118" s="3">
        <v>142</v>
      </c>
      <c r="D118" s="3" t="s">
        <v>46</v>
      </c>
      <c r="E118" s="3">
        <v>1.64</v>
      </c>
      <c r="F118" s="3">
        <v>3.86</v>
      </c>
      <c r="G118" s="3">
        <f t="shared" si="2"/>
        <v>26.613773599999998</v>
      </c>
      <c r="H118" s="3">
        <v>21.678999999999998</v>
      </c>
      <c r="I118" s="3">
        <v>0.12</v>
      </c>
      <c r="J118" s="3">
        <v>2.8620000000000001</v>
      </c>
      <c r="K118" s="3">
        <v>3.1110000000000002</v>
      </c>
      <c r="L118" s="3">
        <v>5.57</v>
      </c>
      <c r="M118" s="3">
        <v>0.23699999999999999</v>
      </c>
      <c r="N118" s="3">
        <v>1.9E-2</v>
      </c>
      <c r="O118" s="3">
        <v>9.6660000000000004</v>
      </c>
      <c r="P118" s="3">
        <v>1.5620000000000001</v>
      </c>
      <c r="Q118" s="3">
        <v>10.500999999999999</v>
      </c>
      <c r="R118" s="3">
        <v>8.4120000000000008</v>
      </c>
      <c r="S118" s="3">
        <v>51.085000000000001</v>
      </c>
      <c r="T118" s="2"/>
      <c r="U118" s="2"/>
      <c r="V118" s="3"/>
      <c r="W118" s="2"/>
      <c r="X118" s="3">
        <v>55.997999999999998</v>
      </c>
      <c r="Y118" s="3">
        <v>48.787999999999997</v>
      </c>
      <c r="Z118" s="4"/>
      <c r="AA118" s="4"/>
    </row>
    <row r="119" spans="1:27" ht="16" x14ac:dyDescent="0.2">
      <c r="A119" s="3" t="s">
        <v>43</v>
      </c>
      <c r="B119" s="3" t="s">
        <v>47</v>
      </c>
      <c r="C119" s="3">
        <v>168</v>
      </c>
      <c r="D119" s="3" t="s">
        <v>46</v>
      </c>
      <c r="E119" s="3">
        <v>1.48</v>
      </c>
      <c r="F119" s="3">
        <v>3.76</v>
      </c>
      <c r="G119" s="3">
        <f t="shared" si="2"/>
        <v>25.924297599999999</v>
      </c>
      <c r="H119" s="3">
        <v>18.036999999999999</v>
      </c>
      <c r="I119" s="3">
        <v>0</v>
      </c>
      <c r="J119" s="3">
        <v>2.4569999999999999</v>
      </c>
      <c r="K119" s="3">
        <v>2.7090000000000001</v>
      </c>
      <c r="L119" s="3">
        <v>4.7130000000000001</v>
      </c>
      <c r="M119" s="3">
        <v>0.161</v>
      </c>
      <c r="N119" s="3">
        <v>0</v>
      </c>
      <c r="O119" s="3">
        <v>8.19</v>
      </c>
      <c r="P119" s="3">
        <v>1.393</v>
      </c>
      <c r="Q119" s="3">
        <v>9.3629999999999995</v>
      </c>
      <c r="R119" s="3">
        <v>8.5069999999999997</v>
      </c>
      <c r="S119" s="3">
        <v>47.841000000000001</v>
      </c>
      <c r="T119" s="2"/>
      <c r="U119" s="2"/>
      <c r="V119" s="3"/>
      <c r="W119" s="2"/>
      <c r="X119" s="3">
        <v>55.902999999999999</v>
      </c>
      <c r="Y119" s="3">
        <v>45.543999999999997</v>
      </c>
      <c r="Z119" s="4"/>
      <c r="AA119" s="4"/>
    </row>
    <row r="120" spans="1:27" ht="16" x14ac:dyDescent="0.2">
      <c r="A120" s="3" t="s">
        <v>43</v>
      </c>
      <c r="B120" s="3" t="s">
        <v>47</v>
      </c>
      <c r="C120" s="3">
        <v>190</v>
      </c>
      <c r="D120" s="3" t="s">
        <v>46</v>
      </c>
      <c r="E120" s="3">
        <v>1.28</v>
      </c>
      <c r="F120" s="3">
        <v>3.66</v>
      </c>
      <c r="G120" s="3">
        <f t="shared" si="2"/>
        <v>25.2348216</v>
      </c>
      <c r="H120" s="3">
        <v>16.501000000000001</v>
      </c>
      <c r="I120" s="3">
        <v>0</v>
      </c>
      <c r="J120" s="3">
        <v>2.177</v>
      </c>
      <c r="K120" s="3">
        <v>2.347</v>
      </c>
      <c r="L120" s="3">
        <v>4.0960000000000001</v>
      </c>
      <c r="M120" s="3">
        <v>0.111</v>
      </c>
      <c r="N120" s="3">
        <v>0</v>
      </c>
      <c r="O120" s="3">
        <v>7.0119999999999996</v>
      </c>
      <c r="P120" s="3">
        <v>1.163</v>
      </c>
      <c r="Q120" s="3">
        <v>7.8520000000000003</v>
      </c>
      <c r="R120" s="3">
        <v>8.4420000000000002</v>
      </c>
      <c r="S120" s="3">
        <v>51.619</v>
      </c>
      <c r="T120" s="3">
        <v>42.07</v>
      </c>
      <c r="U120" s="3">
        <v>7.2610000000000001</v>
      </c>
      <c r="V120" s="3"/>
      <c r="W120" s="2"/>
      <c r="X120" s="3">
        <v>55.968000000000004</v>
      </c>
      <c r="Y120" s="3">
        <v>49.322000000000003</v>
      </c>
      <c r="Z120" s="4"/>
      <c r="AA120" s="4"/>
    </row>
    <row r="121" spans="1:27" ht="16" x14ac:dyDescent="0.2">
      <c r="A121" s="3" t="s">
        <v>43</v>
      </c>
      <c r="B121" s="3" t="s">
        <v>47</v>
      </c>
      <c r="C121" s="3">
        <v>240</v>
      </c>
      <c r="D121" s="3" t="s">
        <v>46</v>
      </c>
      <c r="E121" s="3">
        <v>0.73</v>
      </c>
      <c r="F121" s="2"/>
      <c r="G121" s="3"/>
      <c r="H121" s="3">
        <v>15.853</v>
      </c>
      <c r="I121" s="3">
        <v>0</v>
      </c>
      <c r="J121" s="3">
        <v>2.1560000000000001</v>
      </c>
      <c r="K121" s="3">
        <v>2.2850000000000001</v>
      </c>
      <c r="L121" s="3">
        <v>4.0999999999999996</v>
      </c>
      <c r="M121" s="3">
        <v>0.111</v>
      </c>
      <c r="N121" s="3">
        <v>0</v>
      </c>
      <c r="O121" s="3">
        <v>6.8730000000000002</v>
      </c>
      <c r="P121" s="3">
        <v>1.1859999999999999</v>
      </c>
      <c r="Q121" s="3">
        <v>8.0690000000000008</v>
      </c>
      <c r="R121" s="3">
        <v>8.2270000000000003</v>
      </c>
      <c r="S121" s="3">
        <v>58.881999999999998</v>
      </c>
      <c r="T121" s="3">
        <v>44.761000000000003</v>
      </c>
      <c r="U121" s="3">
        <v>8.048</v>
      </c>
      <c r="V121" s="3">
        <v>1.59</v>
      </c>
      <c r="W121" s="3">
        <v>7.06</v>
      </c>
      <c r="X121" s="3">
        <v>56.183</v>
      </c>
      <c r="Y121" s="3">
        <v>56.585000000000001</v>
      </c>
      <c r="Z121" s="4"/>
      <c r="AA121" s="4"/>
    </row>
    <row r="122" spans="1:27" ht="16" x14ac:dyDescent="0.2">
      <c r="A122" s="3" t="s">
        <v>43</v>
      </c>
      <c r="B122" s="3" t="s">
        <v>48</v>
      </c>
      <c r="C122" s="3">
        <v>0</v>
      </c>
      <c r="D122" s="3" t="s">
        <v>44</v>
      </c>
      <c r="E122" s="3">
        <v>5.0000000000000001E-3</v>
      </c>
      <c r="F122" s="3">
        <v>0.44</v>
      </c>
      <c r="G122" s="3">
        <f t="shared" si="2"/>
        <v>3.0336943999999999</v>
      </c>
      <c r="H122" s="3">
        <v>27.565999999999999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64.668000000000006</v>
      </c>
      <c r="S122" s="3">
        <v>2.7690000000000001</v>
      </c>
      <c r="T122" s="3">
        <v>0</v>
      </c>
      <c r="U122" s="3">
        <v>0</v>
      </c>
      <c r="V122" s="3"/>
      <c r="W122" s="3">
        <v>6.34</v>
      </c>
      <c r="X122" s="3">
        <v>0</v>
      </c>
      <c r="Y122" s="3">
        <v>0</v>
      </c>
      <c r="Z122" s="4"/>
      <c r="AA122" s="4"/>
    </row>
    <row r="123" spans="1:27" ht="16" x14ac:dyDescent="0.2">
      <c r="A123" s="3" t="s">
        <v>43</v>
      </c>
      <c r="B123" s="3" t="s">
        <v>48</v>
      </c>
      <c r="C123" s="3">
        <v>21</v>
      </c>
      <c r="D123" s="3" t="s">
        <v>44</v>
      </c>
      <c r="E123" s="3">
        <v>3.3000000000000002E-2</v>
      </c>
      <c r="F123" s="3">
        <v>0.86</v>
      </c>
      <c r="G123" s="3">
        <f t="shared" si="2"/>
        <v>5.9294935999999998</v>
      </c>
      <c r="H123" s="3">
        <v>58.456000000000003</v>
      </c>
      <c r="I123" s="3">
        <v>0.53500000000000003</v>
      </c>
      <c r="J123" s="3">
        <v>0</v>
      </c>
      <c r="K123" s="3">
        <v>0.16600000000000001</v>
      </c>
      <c r="L123" s="3">
        <v>0</v>
      </c>
      <c r="M123" s="3">
        <v>2.8000000000000001E-2</v>
      </c>
      <c r="N123" s="3">
        <v>0</v>
      </c>
      <c r="O123" s="3">
        <v>0.755</v>
      </c>
      <c r="P123" s="3">
        <v>7.0999999999999994E-2</v>
      </c>
      <c r="Q123" s="3">
        <v>0</v>
      </c>
      <c r="R123" s="3">
        <v>64.13</v>
      </c>
      <c r="S123" s="3">
        <v>3.1930000000000001</v>
      </c>
      <c r="T123" s="2"/>
      <c r="U123" s="2"/>
      <c r="V123" s="3"/>
      <c r="W123" s="2"/>
      <c r="X123" s="3">
        <v>0.53800000000000003</v>
      </c>
      <c r="Y123" s="3">
        <v>0.42399999999999999</v>
      </c>
      <c r="Z123" s="4"/>
      <c r="AA123" s="4"/>
    </row>
    <row r="124" spans="1:27" ht="16" x14ac:dyDescent="0.2">
      <c r="A124" s="3" t="s">
        <v>43</v>
      </c>
      <c r="B124" s="3" t="s">
        <v>48</v>
      </c>
      <c r="C124" s="3">
        <v>45</v>
      </c>
      <c r="D124" s="3" t="s">
        <v>44</v>
      </c>
      <c r="E124" s="3">
        <v>0.62</v>
      </c>
      <c r="F124" s="3">
        <v>2.92</v>
      </c>
      <c r="G124" s="3">
        <f t="shared" si="2"/>
        <v>20.132699199999998</v>
      </c>
      <c r="H124" s="3">
        <v>36.834000000000003</v>
      </c>
      <c r="I124" s="3">
        <v>0</v>
      </c>
      <c r="J124" s="3">
        <v>0.59899999999999998</v>
      </c>
      <c r="K124" s="3">
        <v>2.0049999999999999</v>
      </c>
      <c r="L124" s="3">
        <v>0.39</v>
      </c>
      <c r="M124" s="3">
        <v>0.46600000000000003</v>
      </c>
      <c r="N124" s="3">
        <v>0.46100000000000002</v>
      </c>
      <c r="O124" s="3">
        <v>3.5680000000000001</v>
      </c>
      <c r="P124" s="3">
        <v>0.61399999999999999</v>
      </c>
      <c r="Q124" s="3">
        <v>0.51200000000000001</v>
      </c>
      <c r="R124" s="3">
        <v>50.491</v>
      </c>
      <c r="S124" s="3">
        <v>14.188000000000001</v>
      </c>
      <c r="T124" s="2"/>
      <c r="U124" s="2"/>
      <c r="V124" s="3"/>
      <c r="W124" s="2"/>
      <c r="X124" s="3">
        <v>14.177</v>
      </c>
      <c r="Y124" s="3">
        <v>11.419</v>
      </c>
      <c r="Z124" s="4"/>
      <c r="AA124" s="4"/>
    </row>
    <row r="125" spans="1:27" ht="16" x14ac:dyDescent="0.2">
      <c r="A125" s="3" t="s">
        <v>43</v>
      </c>
      <c r="B125" s="3" t="s">
        <v>48</v>
      </c>
      <c r="C125" s="3">
        <v>69</v>
      </c>
      <c r="D125" s="3" t="s">
        <v>44</v>
      </c>
      <c r="E125" s="3">
        <v>1.21</v>
      </c>
      <c r="F125" s="3">
        <v>4.34</v>
      </c>
      <c r="G125" s="3">
        <f t="shared" si="2"/>
        <v>29.923258399999998</v>
      </c>
      <c r="H125" s="3">
        <v>25.378</v>
      </c>
      <c r="I125" s="3">
        <v>0</v>
      </c>
      <c r="J125" s="3">
        <v>0.74099999999999999</v>
      </c>
      <c r="K125" s="3">
        <v>3.0819999999999999</v>
      </c>
      <c r="L125" s="3">
        <v>1.151</v>
      </c>
      <c r="M125" s="3">
        <v>0.217</v>
      </c>
      <c r="N125" s="3">
        <v>1.2E-2</v>
      </c>
      <c r="O125" s="3">
        <v>5.8879999999999999</v>
      </c>
      <c r="P125" s="3">
        <v>0.26300000000000001</v>
      </c>
      <c r="Q125" s="3">
        <v>3.294</v>
      </c>
      <c r="R125" s="3">
        <v>29.408000000000001</v>
      </c>
      <c r="S125" s="3">
        <v>28.547000000000001</v>
      </c>
      <c r="T125" s="2"/>
      <c r="U125" s="2"/>
      <c r="V125" s="3"/>
      <c r="W125" s="2"/>
      <c r="X125" s="3">
        <v>35.26</v>
      </c>
      <c r="Y125" s="3">
        <v>25.777999999999999</v>
      </c>
      <c r="Z125" s="4"/>
      <c r="AA125" s="4"/>
    </row>
    <row r="126" spans="1:27" ht="16" x14ac:dyDescent="0.2">
      <c r="A126" s="3" t="s">
        <v>43</v>
      </c>
      <c r="B126" s="3" t="s">
        <v>48</v>
      </c>
      <c r="C126" s="3">
        <v>92</v>
      </c>
      <c r="D126" s="3" t="s">
        <v>44</v>
      </c>
      <c r="E126" s="3">
        <v>1.5</v>
      </c>
      <c r="F126" s="3">
        <v>4.5</v>
      </c>
      <c r="G126" s="3">
        <f t="shared" si="2"/>
        <v>31.026419999999998</v>
      </c>
      <c r="H126" s="3">
        <v>22.279</v>
      </c>
      <c r="I126" s="3">
        <v>0</v>
      </c>
      <c r="J126" s="3">
        <v>1.1970000000000001</v>
      </c>
      <c r="K126" s="3">
        <v>4.3330000000000002</v>
      </c>
      <c r="L126" s="3">
        <v>2.4470000000000001</v>
      </c>
      <c r="M126" s="3">
        <v>0.42699999999999999</v>
      </c>
      <c r="N126" s="3">
        <v>7.1999999999999995E-2</v>
      </c>
      <c r="O126" s="3">
        <v>7.9749999999999996</v>
      </c>
      <c r="P126" s="3">
        <v>0.72499999999999998</v>
      </c>
      <c r="Q126" s="3">
        <v>8.0820000000000007</v>
      </c>
      <c r="R126" s="3">
        <v>15.654</v>
      </c>
      <c r="S126" s="3">
        <v>38.908000000000001</v>
      </c>
      <c r="T126" s="2"/>
      <c r="U126" s="2"/>
      <c r="V126" s="3"/>
      <c r="W126" s="2"/>
      <c r="X126" s="3">
        <v>49.014000000000003</v>
      </c>
      <c r="Y126" s="3">
        <v>36.139000000000003</v>
      </c>
      <c r="Z126" s="4"/>
      <c r="AA126" s="4"/>
    </row>
    <row r="127" spans="1:27" ht="16" x14ac:dyDescent="0.2">
      <c r="A127" s="3" t="s">
        <v>43</v>
      </c>
      <c r="B127" s="3" t="s">
        <v>48</v>
      </c>
      <c r="C127" s="3">
        <v>117</v>
      </c>
      <c r="D127" s="3" t="s">
        <v>44</v>
      </c>
      <c r="E127" s="3">
        <v>1.52</v>
      </c>
      <c r="F127" s="3">
        <v>4.3600000000000003</v>
      </c>
      <c r="G127" s="3">
        <f t="shared" si="2"/>
        <v>30.061153600000001</v>
      </c>
      <c r="H127" s="3">
        <v>18.718</v>
      </c>
      <c r="I127" s="3">
        <v>0</v>
      </c>
      <c r="J127" s="3">
        <v>1.65</v>
      </c>
      <c r="K127" s="3">
        <v>3.8679999999999999</v>
      </c>
      <c r="L127" s="3">
        <v>3.6219999999999999</v>
      </c>
      <c r="M127" s="3">
        <v>0.48299999999999998</v>
      </c>
      <c r="N127" s="3">
        <v>5.8000000000000003E-2</v>
      </c>
      <c r="O127" s="3">
        <v>8.7050000000000001</v>
      </c>
      <c r="P127" s="3">
        <v>1.095</v>
      </c>
      <c r="Q127" s="3">
        <v>10.557</v>
      </c>
      <c r="R127" s="3">
        <v>11.31</v>
      </c>
      <c r="S127" s="3">
        <v>49.088000000000001</v>
      </c>
      <c r="T127" s="3">
        <v>2.2210000000000001</v>
      </c>
      <c r="U127" s="3">
        <v>6.82</v>
      </c>
      <c r="V127" s="3"/>
      <c r="W127" s="2"/>
      <c r="X127" s="3">
        <v>53.357999999999997</v>
      </c>
      <c r="Y127" s="3">
        <v>46.319000000000003</v>
      </c>
      <c r="Z127" s="4"/>
      <c r="AA127" s="4"/>
    </row>
    <row r="128" spans="1:27" ht="16" x14ac:dyDescent="0.2">
      <c r="A128" s="3" t="s">
        <v>43</v>
      </c>
      <c r="B128" s="3" t="s">
        <v>48</v>
      </c>
      <c r="C128" s="3">
        <v>142</v>
      </c>
      <c r="D128" s="3" t="s">
        <v>44</v>
      </c>
      <c r="E128" s="3">
        <v>1.49</v>
      </c>
      <c r="F128" s="3">
        <v>3.86</v>
      </c>
      <c r="G128" s="3">
        <f t="shared" si="2"/>
        <v>26.613773599999998</v>
      </c>
      <c r="H128" s="3">
        <v>19.536000000000001</v>
      </c>
      <c r="I128" s="3">
        <v>7.3999999999999996E-2</v>
      </c>
      <c r="J128" s="3">
        <v>2.6560000000000001</v>
      </c>
      <c r="K128" s="3">
        <v>3.96</v>
      </c>
      <c r="L128" s="3">
        <v>4.6150000000000002</v>
      </c>
      <c r="M128" s="3">
        <v>0.33400000000000002</v>
      </c>
      <c r="N128" s="3">
        <v>0.01</v>
      </c>
      <c r="O128" s="3">
        <v>9.9979999999999993</v>
      </c>
      <c r="P128" s="3">
        <v>1.5469999999999999</v>
      </c>
      <c r="Q128" s="3">
        <v>11.877000000000001</v>
      </c>
      <c r="R128" s="3">
        <v>10.404</v>
      </c>
      <c r="S128" s="3">
        <v>55.587000000000003</v>
      </c>
      <c r="T128" s="2"/>
      <c r="U128" s="2"/>
      <c r="V128" s="3"/>
      <c r="W128" s="2"/>
      <c r="X128" s="3">
        <v>54.264000000000003</v>
      </c>
      <c r="Y128" s="3">
        <v>52.817999999999998</v>
      </c>
      <c r="Z128" s="4"/>
      <c r="AA128" s="4"/>
    </row>
    <row r="129" spans="1:27" ht="16" x14ac:dyDescent="0.2">
      <c r="A129" s="3" t="s">
        <v>43</v>
      </c>
      <c r="B129" s="3" t="s">
        <v>48</v>
      </c>
      <c r="C129" s="3">
        <v>168</v>
      </c>
      <c r="D129" s="3" t="s">
        <v>44</v>
      </c>
      <c r="E129" s="3">
        <v>1.36</v>
      </c>
      <c r="F129" s="3">
        <v>3.84</v>
      </c>
      <c r="G129" s="3">
        <f t="shared" si="2"/>
        <v>26.475878399999999</v>
      </c>
      <c r="H129" s="3">
        <v>17.238</v>
      </c>
      <c r="I129" s="3">
        <v>5.2999999999999999E-2</v>
      </c>
      <c r="J129" s="3">
        <v>2.8130000000000002</v>
      </c>
      <c r="K129" s="3">
        <v>3.7389999999999999</v>
      </c>
      <c r="L129" s="3">
        <v>4.7329999999999997</v>
      </c>
      <c r="M129" s="3">
        <v>0.31900000000000001</v>
      </c>
      <c r="N129" s="3">
        <v>3.0000000000000001E-3</v>
      </c>
      <c r="O129" s="3">
        <v>9.6549999999999994</v>
      </c>
      <c r="P129" s="3">
        <v>1.633</v>
      </c>
      <c r="Q129" s="3">
        <v>12.409000000000001</v>
      </c>
      <c r="R129" s="3">
        <v>9.609</v>
      </c>
      <c r="S129" s="3">
        <v>57.189</v>
      </c>
      <c r="T129" s="2"/>
      <c r="U129" s="2"/>
      <c r="V129" s="3"/>
      <c r="W129" s="2"/>
      <c r="X129" s="3">
        <v>55.058999999999997</v>
      </c>
      <c r="Y129" s="3">
        <v>54.42</v>
      </c>
      <c r="Z129" s="4"/>
      <c r="AA129" s="4"/>
    </row>
    <row r="130" spans="1:27" ht="16" x14ac:dyDescent="0.2">
      <c r="A130" s="3" t="s">
        <v>43</v>
      </c>
      <c r="B130" s="3" t="s">
        <v>48</v>
      </c>
      <c r="C130" s="3">
        <v>190</v>
      </c>
      <c r="D130" s="3" t="s">
        <v>44</v>
      </c>
      <c r="E130" s="3">
        <v>1.32</v>
      </c>
      <c r="F130" s="3">
        <v>3.64</v>
      </c>
      <c r="G130" s="3">
        <f t="shared" si="2"/>
        <v>25.096926400000001</v>
      </c>
      <c r="H130" s="3">
        <v>15.936</v>
      </c>
      <c r="I130" s="3">
        <v>0.192</v>
      </c>
      <c r="J130" s="3">
        <v>2.8239999999999998</v>
      </c>
      <c r="K130" s="3">
        <v>3.621</v>
      </c>
      <c r="L130" s="3">
        <v>4.7640000000000002</v>
      </c>
      <c r="M130" s="3">
        <v>0.34399999999999997</v>
      </c>
      <c r="N130" s="3">
        <v>6.0000000000000001E-3</v>
      </c>
      <c r="O130" s="3">
        <v>9.4779999999999998</v>
      </c>
      <c r="P130" s="3">
        <v>1.617</v>
      </c>
      <c r="Q130" s="3">
        <v>12.141</v>
      </c>
      <c r="R130" s="3">
        <v>9.42</v>
      </c>
      <c r="S130" s="3">
        <v>56.832999999999998</v>
      </c>
      <c r="T130" s="3">
        <v>2.2730000000000001</v>
      </c>
      <c r="U130" s="3">
        <v>6.8410000000000002</v>
      </c>
      <c r="V130" s="3"/>
      <c r="W130" s="2"/>
      <c r="X130" s="3">
        <v>55.247999999999998</v>
      </c>
      <c r="Y130" s="3">
        <v>54.064</v>
      </c>
      <c r="Z130" s="4"/>
      <c r="AA130" s="4"/>
    </row>
    <row r="131" spans="1:27" ht="16" x14ac:dyDescent="0.2">
      <c r="A131" s="3" t="s">
        <v>43</v>
      </c>
      <c r="B131" s="3" t="s">
        <v>48</v>
      </c>
      <c r="C131" s="3">
        <v>240</v>
      </c>
      <c r="D131" s="3" t="s">
        <v>44</v>
      </c>
      <c r="E131" s="3">
        <v>1.18</v>
      </c>
      <c r="F131" s="2"/>
      <c r="G131" s="3"/>
      <c r="H131" s="3">
        <v>18.434999999999999</v>
      </c>
      <c r="I131" s="3">
        <v>0.14000000000000001</v>
      </c>
      <c r="J131" s="3">
        <v>3.194</v>
      </c>
      <c r="K131" s="3">
        <v>4.0289999999999999</v>
      </c>
      <c r="L131" s="3">
        <v>5.38</v>
      </c>
      <c r="M131" s="3">
        <v>0.41899999999999998</v>
      </c>
      <c r="N131" s="3">
        <v>6.3E-2</v>
      </c>
      <c r="O131" s="3">
        <v>10.739000000000001</v>
      </c>
      <c r="P131" s="3">
        <v>1.8859999999999999</v>
      </c>
      <c r="Q131" s="3">
        <v>13.598000000000001</v>
      </c>
      <c r="R131" s="3">
        <v>9.1790000000000003</v>
      </c>
      <c r="S131" s="3">
        <v>59.265999999999998</v>
      </c>
      <c r="T131" s="3">
        <v>2.5939999999999999</v>
      </c>
      <c r="U131" s="3">
        <v>7.9480000000000004</v>
      </c>
      <c r="V131" s="3">
        <v>0.65300000000000002</v>
      </c>
      <c r="W131" s="3">
        <v>7.41</v>
      </c>
      <c r="X131" s="3">
        <v>55.488999999999997</v>
      </c>
      <c r="Y131" s="3">
        <v>56.497</v>
      </c>
      <c r="Z131" s="4"/>
      <c r="AA131" s="4"/>
    </row>
    <row r="132" spans="1:27" ht="16" x14ac:dyDescent="0.2">
      <c r="A132" s="3" t="s">
        <v>43</v>
      </c>
      <c r="B132" s="3" t="s">
        <v>48</v>
      </c>
      <c r="C132" s="3">
        <v>0</v>
      </c>
      <c r="D132" s="3" t="s">
        <v>45</v>
      </c>
      <c r="E132" s="3">
        <v>8.0000000000000002E-3</v>
      </c>
      <c r="F132" s="3">
        <v>0.44</v>
      </c>
      <c r="G132" s="3">
        <f t="shared" ref="G132:G194" si="4">F132*6.89476</f>
        <v>3.0336943999999999</v>
      </c>
      <c r="H132" s="3">
        <v>28.927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63.494999999999997</v>
      </c>
      <c r="S132" s="3">
        <v>2.9670000000000001</v>
      </c>
      <c r="T132" s="3">
        <v>0</v>
      </c>
      <c r="U132" s="3">
        <v>0</v>
      </c>
      <c r="V132" s="3"/>
      <c r="W132" s="3">
        <v>6.34</v>
      </c>
      <c r="X132" s="3">
        <v>0</v>
      </c>
      <c r="Y132" s="3">
        <v>0</v>
      </c>
      <c r="Z132" s="4"/>
      <c r="AA132" s="4"/>
    </row>
    <row r="133" spans="1:27" ht="16" x14ac:dyDescent="0.2">
      <c r="A133" s="3" t="s">
        <v>43</v>
      </c>
      <c r="B133" s="3" t="s">
        <v>48</v>
      </c>
      <c r="C133" s="3">
        <v>21</v>
      </c>
      <c r="D133" s="3" t="s">
        <v>45</v>
      </c>
      <c r="E133" s="3">
        <v>4.8000000000000001E-2</v>
      </c>
      <c r="F133" s="3">
        <v>0.98</v>
      </c>
      <c r="G133" s="3">
        <f t="shared" si="4"/>
        <v>6.7568647999999998</v>
      </c>
      <c r="H133" s="3">
        <v>27.222999999999999</v>
      </c>
      <c r="I133" s="3">
        <v>0.54700000000000004</v>
      </c>
      <c r="J133" s="3">
        <v>0.27200000000000002</v>
      </c>
      <c r="K133" s="3">
        <v>0.83899999999999997</v>
      </c>
      <c r="L133" s="3">
        <v>0.56899999999999995</v>
      </c>
      <c r="M133" s="3">
        <v>1.4550000000000001</v>
      </c>
      <c r="N133" s="3">
        <v>1.595</v>
      </c>
      <c r="O133" s="3">
        <v>1.784</v>
      </c>
      <c r="P133" s="3">
        <v>2.0110000000000001</v>
      </c>
      <c r="Q133" s="3">
        <v>1.6859999999999999</v>
      </c>
      <c r="R133" s="3">
        <v>62.366</v>
      </c>
      <c r="S133" s="3">
        <v>3.5419999999999998</v>
      </c>
      <c r="T133" s="2"/>
      <c r="U133" s="2"/>
      <c r="V133" s="3"/>
      <c r="W133" s="2"/>
      <c r="X133" s="3">
        <v>1.129</v>
      </c>
      <c r="Y133" s="3">
        <v>0.57499999999999996</v>
      </c>
      <c r="Z133" s="4"/>
      <c r="AA133" s="4"/>
    </row>
    <row r="134" spans="1:27" ht="16" x14ac:dyDescent="0.2">
      <c r="A134" s="3" t="s">
        <v>43</v>
      </c>
      <c r="B134" s="3" t="s">
        <v>48</v>
      </c>
      <c r="C134" s="3">
        <v>45</v>
      </c>
      <c r="D134" s="3" t="s">
        <v>45</v>
      </c>
      <c r="E134" s="3">
        <v>0.95</v>
      </c>
      <c r="F134" s="3">
        <v>3.88</v>
      </c>
      <c r="G134" s="3">
        <f t="shared" si="4"/>
        <v>26.751668799999997</v>
      </c>
      <c r="H134" s="3">
        <v>33.604999999999997</v>
      </c>
      <c r="I134" s="3">
        <v>0</v>
      </c>
      <c r="J134" s="3">
        <v>0.66300000000000003</v>
      </c>
      <c r="K134" s="3">
        <v>2.3879999999999999</v>
      </c>
      <c r="L134" s="3">
        <v>0.80200000000000005</v>
      </c>
      <c r="M134" s="3">
        <v>0.374</v>
      </c>
      <c r="N134" s="3">
        <v>0.27100000000000002</v>
      </c>
      <c r="O134" s="3">
        <v>4.5350000000000001</v>
      </c>
      <c r="P134" s="3">
        <v>0.45900000000000002</v>
      </c>
      <c r="Q134" s="3">
        <v>0.95899999999999996</v>
      </c>
      <c r="R134" s="3">
        <v>44.7</v>
      </c>
      <c r="S134" s="3">
        <v>19.356000000000002</v>
      </c>
      <c r="T134" s="2"/>
      <c r="U134" s="2"/>
      <c r="V134" s="3"/>
      <c r="W134" s="2"/>
      <c r="X134" s="3">
        <v>18.795000000000002</v>
      </c>
      <c r="Y134" s="3">
        <v>16.388999999999999</v>
      </c>
      <c r="Z134" s="4"/>
      <c r="AA134" s="4"/>
    </row>
    <row r="135" spans="1:27" ht="16" x14ac:dyDescent="0.2">
      <c r="A135" s="3" t="s">
        <v>43</v>
      </c>
      <c r="B135" s="3" t="s">
        <v>48</v>
      </c>
      <c r="C135" s="3">
        <v>69</v>
      </c>
      <c r="D135" s="3" t="s">
        <v>45</v>
      </c>
      <c r="E135" s="3">
        <v>1.03</v>
      </c>
      <c r="F135" s="3">
        <v>4.78</v>
      </c>
      <c r="G135" s="3">
        <f t="shared" si="4"/>
        <v>32.956952800000003</v>
      </c>
      <c r="H135" s="3">
        <v>27.256</v>
      </c>
      <c r="I135" s="3">
        <v>0</v>
      </c>
      <c r="J135" s="3">
        <v>0.86199999999999999</v>
      </c>
      <c r="K135" s="3">
        <v>3.726</v>
      </c>
      <c r="L135" s="3">
        <v>1.659</v>
      </c>
      <c r="M135" s="3">
        <v>0.28899999999999998</v>
      </c>
      <c r="N135" s="3">
        <v>5.5E-2</v>
      </c>
      <c r="O135" s="3">
        <v>7.0730000000000004</v>
      </c>
      <c r="P135" s="3">
        <v>0.41699999999999998</v>
      </c>
      <c r="Q135" s="3">
        <v>4.6230000000000002</v>
      </c>
      <c r="R135" s="3">
        <v>25.302</v>
      </c>
      <c r="S135" s="3">
        <v>31.556999999999999</v>
      </c>
      <c r="T135" s="2"/>
      <c r="U135" s="2"/>
      <c r="V135" s="3"/>
      <c r="W135" s="2"/>
      <c r="X135" s="3">
        <v>38.192999999999998</v>
      </c>
      <c r="Y135" s="3">
        <v>28.59</v>
      </c>
      <c r="Z135" s="4"/>
      <c r="AA135" s="4"/>
    </row>
    <row r="136" spans="1:27" ht="16" x14ac:dyDescent="0.2">
      <c r="A136" s="3" t="s">
        <v>43</v>
      </c>
      <c r="B136" s="3" t="s">
        <v>48</v>
      </c>
      <c r="C136" s="3">
        <v>92</v>
      </c>
      <c r="D136" s="3" t="s">
        <v>45</v>
      </c>
      <c r="E136" s="3">
        <v>1.1599999999999999</v>
      </c>
      <c r="F136" s="3">
        <v>4.72</v>
      </c>
      <c r="G136" s="3">
        <f t="shared" si="4"/>
        <v>32.543267199999995</v>
      </c>
      <c r="H136" s="3">
        <v>24.792999999999999</v>
      </c>
      <c r="I136" s="3">
        <v>0</v>
      </c>
      <c r="J136" s="3">
        <v>1.3089999999999999</v>
      </c>
      <c r="K136" s="3">
        <v>4.8639999999999999</v>
      </c>
      <c r="L136" s="3">
        <v>2.5750000000000002</v>
      </c>
      <c r="M136" s="3">
        <v>0.47399999999999998</v>
      </c>
      <c r="N136" s="3">
        <v>7.9000000000000001E-2</v>
      </c>
      <c r="O136" s="3">
        <v>8.3800000000000008</v>
      </c>
      <c r="P136" s="3">
        <v>0.81499999999999995</v>
      </c>
      <c r="Q136" s="3">
        <v>8.3190000000000008</v>
      </c>
      <c r="R136" s="3">
        <v>13.95</v>
      </c>
      <c r="S136" s="3">
        <v>38.963999999999999</v>
      </c>
      <c r="T136" s="2"/>
      <c r="U136" s="2"/>
      <c r="V136" s="3"/>
      <c r="W136" s="2"/>
      <c r="X136" s="3">
        <v>49.545000000000002</v>
      </c>
      <c r="Y136" s="3">
        <v>35.997</v>
      </c>
      <c r="Z136" s="4"/>
      <c r="AA136" s="4"/>
    </row>
    <row r="137" spans="1:27" ht="16" x14ac:dyDescent="0.2">
      <c r="A137" s="3" t="s">
        <v>43</v>
      </c>
      <c r="B137" s="3" t="s">
        <v>48</v>
      </c>
      <c r="C137" s="3">
        <v>117</v>
      </c>
      <c r="D137" s="3" t="s">
        <v>45</v>
      </c>
      <c r="E137" s="3">
        <v>1.2</v>
      </c>
      <c r="F137" s="3">
        <v>4.5199999999999996</v>
      </c>
      <c r="G137" s="3">
        <f t="shared" si="4"/>
        <v>31.164315199999997</v>
      </c>
      <c r="H137" s="3">
        <v>19.690000000000001</v>
      </c>
      <c r="I137" s="3">
        <v>0</v>
      </c>
      <c r="J137" s="3">
        <v>1.462</v>
      </c>
      <c r="K137" s="3">
        <v>4.1959999999999997</v>
      </c>
      <c r="L137" s="3">
        <v>3.42</v>
      </c>
      <c r="M137" s="3">
        <v>0.50600000000000001</v>
      </c>
      <c r="N137" s="3">
        <v>6.0999999999999999E-2</v>
      </c>
      <c r="O137" s="3">
        <v>8.58</v>
      </c>
      <c r="P137" s="3">
        <v>1.0069999999999999</v>
      </c>
      <c r="Q137" s="3">
        <v>9.8840000000000003</v>
      </c>
      <c r="R137" s="3">
        <v>10.904999999999999</v>
      </c>
      <c r="S137" s="3">
        <v>49.238999999999997</v>
      </c>
      <c r="T137" s="3">
        <v>2.101</v>
      </c>
      <c r="U137" s="3">
        <v>4.7809999999999997</v>
      </c>
      <c r="V137" s="3"/>
      <c r="W137" s="2"/>
      <c r="X137" s="3">
        <v>52.59</v>
      </c>
      <c r="Y137" s="3">
        <v>46.271999999999998</v>
      </c>
      <c r="Z137" s="4"/>
      <c r="AA137" s="4"/>
    </row>
    <row r="138" spans="1:27" ht="16" x14ac:dyDescent="0.2">
      <c r="A138" s="3" t="s">
        <v>43</v>
      </c>
      <c r="B138" s="3" t="s">
        <v>48</v>
      </c>
      <c r="C138" s="3">
        <v>142</v>
      </c>
      <c r="D138" s="3" t="s">
        <v>45</v>
      </c>
      <c r="E138" s="3">
        <v>1.18</v>
      </c>
      <c r="F138" s="3">
        <v>4.0599999999999996</v>
      </c>
      <c r="G138" s="3">
        <f t="shared" si="4"/>
        <v>27.992725599999996</v>
      </c>
      <c r="H138" s="3">
        <v>19.760000000000002</v>
      </c>
      <c r="I138" s="3">
        <v>0</v>
      </c>
      <c r="J138" s="3">
        <v>2.544</v>
      </c>
      <c r="K138" s="3">
        <v>4.2409999999999997</v>
      </c>
      <c r="L138" s="3">
        <v>4.51</v>
      </c>
      <c r="M138" s="3">
        <v>0.38500000000000001</v>
      </c>
      <c r="N138" s="3">
        <v>1.6E-2</v>
      </c>
      <c r="O138" s="3">
        <v>9.9640000000000004</v>
      </c>
      <c r="P138" s="3">
        <v>1.5349999999999999</v>
      </c>
      <c r="Q138" s="3">
        <v>11.194000000000001</v>
      </c>
      <c r="R138" s="3">
        <v>10.24</v>
      </c>
      <c r="S138" s="3">
        <v>54.616</v>
      </c>
      <c r="T138" s="2"/>
      <c r="U138" s="2"/>
      <c r="V138" s="3"/>
      <c r="W138" s="2"/>
      <c r="X138" s="3">
        <v>53.255000000000003</v>
      </c>
      <c r="Y138" s="3">
        <v>51.649000000000001</v>
      </c>
      <c r="Z138" s="4"/>
      <c r="AA138" s="4"/>
    </row>
    <row r="139" spans="1:27" ht="16" x14ac:dyDescent="0.2">
      <c r="A139" s="3" t="s">
        <v>43</v>
      </c>
      <c r="B139" s="3" t="s">
        <v>48</v>
      </c>
      <c r="C139" s="3">
        <v>168</v>
      </c>
      <c r="D139" s="3" t="s">
        <v>45</v>
      </c>
      <c r="E139" s="3">
        <v>1.0900000000000001</v>
      </c>
      <c r="F139" s="3">
        <v>4.0199999999999996</v>
      </c>
      <c r="G139" s="3">
        <f t="shared" si="4"/>
        <v>27.716935199999995</v>
      </c>
      <c r="H139" s="3">
        <v>20.978000000000002</v>
      </c>
      <c r="I139" s="3">
        <v>0.192</v>
      </c>
      <c r="J139" s="3">
        <v>2.8570000000000002</v>
      </c>
      <c r="K139" s="3">
        <v>4.3419999999999996</v>
      </c>
      <c r="L139" s="3">
        <v>5.0359999999999996</v>
      </c>
      <c r="M139" s="3">
        <v>0.435</v>
      </c>
      <c r="N139" s="3">
        <v>1.6E-2</v>
      </c>
      <c r="O139" s="3">
        <v>10.443</v>
      </c>
      <c r="P139" s="3">
        <v>1.7130000000000001</v>
      </c>
      <c r="Q139" s="3">
        <v>11.930999999999999</v>
      </c>
      <c r="R139" s="3">
        <v>9.2520000000000007</v>
      </c>
      <c r="S139" s="3">
        <v>52.807000000000002</v>
      </c>
      <c r="T139" s="2"/>
      <c r="U139" s="2"/>
      <c r="V139" s="3"/>
      <c r="W139" s="2"/>
      <c r="X139" s="3">
        <v>54.243000000000002</v>
      </c>
      <c r="Y139" s="3">
        <v>49.84</v>
      </c>
      <c r="Z139" s="4"/>
      <c r="AA139" s="4"/>
    </row>
    <row r="140" spans="1:27" ht="16" x14ac:dyDescent="0.2">
      <c r="A140" s="3" t="s">
        <v>43</v>
      </c>
      <c r="B140" s="3" t="s">
        <v>48</v>
      </c>
      <c r="C140" s="3">
        <v>190</v>
      </c>
      <c r="D140" s="3" t="s">
        <v>45</v>
      </c>
      <c r="E140" s="3">
        <v>1.05</v>
      </c>
      <c r="F140" s="3">
        <v>3.88</v>
      </c>
      <c r="G140" s="3">
        <f t="shared" si="4"/>
        <v>26.751668799999997</v>
      </c>
      <c r="H140" s="3">
        <v>21.585000000000001</v>
      </c>
      <c r="I140" s="3">
        <v>0.29399999999999998</v>
      </c>
      <c r="J140" s="3">
        <v>3.238</v>
      </c>
      <c r="K140" s="3">
        <v>4.673</v>
      </c>
      <c r="L140" s="3">
        <v>5.7370000000000001</v>
      </c>
      <c r="M140" s="3">
        <v>0.50900000000000001</v>
      </c>
      <c r="N140" s="3">
        <v>0.106</v>
      </c>
      <c r="O140" s="3">
        <v>11.717000000000001</v>
      </c>
      <c r="P140" s="3">
        <v>1.9630000000000001</v>
      </c>
      <c r="Q140" s="3">
        <v>13.587999999999999</v>
      </c>
      <c r="R140" s="3">
        <v>8.8059999999999992</v>
      </c>
      <c r="S140" s="3">
        <v>54.228999999999999</v>
      </c>
      <c r="T140" s="3">
        <v>2.3410000000000002</v>
      </c>
      <c r="U140" s="3">
        <v>6.7149999999999999</v>
      </c>
      <c r="V140" s="3"/>
      <c r="W140" s="2"/>
      <c r="X140" s="3">
        <v>54.689</v>
      </c>
      <c r="Y140" s="3">
        <v>51.262</v>
      </c>
      <c r="Z140" s="4"/>
      <c r="AA140" s="4"/>
    </row>
    <row r="141" spans="1:27" ht="16" x14ac:dyDescent="0.2">
      <c r="A141" s="3" t="s">
        <v>43</v>
      </c>
      <c r="B141" s="3" t="s">
        <v>48</v>
      </c>
      <c r="C141" s="3">
        <v>240</v>
      </c>
      <c r="D141" s="3" t="s">
        <v>45</v>
      </c>
      <c r="E141" s="3">
        <v>0.97</v>
      </c>
      <c r="F141" s="2"/>
      <c r="G141" s="3"/>
      <c r="H141" s="3">
        <v>19.579999999999998</v>
      </c>
      <c r="I141" s="3">
        <v>0.17799999999999999</v>
      </c>
      <c r="J141" s="3">
        <v>3.0510000000000002</v>
      </c>
      <c r="K141" s="3">
        <v>4.2469999999999999</v>
      </c>
      <c r="L141" s="3">
        <v>5.3609999999999998</v>
      </c>
      <c r="M141" s="3">
        <v>0.48499999999999999</v>
      </c>
      <c r="N141" s="3">
        <v>5.0999999999999997E-2</v>
      </c>
      <c r="O141" s="3">
        <v>10.785</v>
      </c>
      <c r="P141" s="3">
        <v>1.913</v>
      </c>
      <c r="Q141" s="3">
        <v>13.282999999999999</v>
      </c>
      <c r="R141" s="3">
        <v>8.8740000000000006</v>
      </c>
      <c r="S141" s="3">
        <v>62.536000000000001</v>
      </c>
      <c r="T141" s="3">
        <v>2.8519999999999999</v>
      </c>
      <c r="U141" s="3">
        <v>8.1920000000000002</v>
      </c>
      <c r="V141" s="3">
        <v>0.442</v>
      </c>
      <c r="W141" s="3">
        <v>7.34</v>
      </c>
      <c r="X141" s="3">
        <v>54.621000000000002</v>
      </c>
      <c r="Y141" s="3">
        <v>59.569000000000003</v>
      </c>
      <c r="Z141" s="4"/>
      <c r="AA141" s="4"/>
    </row>
    <row r="142" spans="1:27" ht="16" x14ac:dyDescent="0.2">
      <c r="A142" s="3" t="s">
        <v>43</v>
      </c>
      <c r="B142" s="3" t="s">
        <v>48</v>
      </c>
      <c r="C142" s="3">
        <v>0</v>
      </c>
      <c r="D142" s="3" t="s">
        <v>46</v>
      </c>
      <c r="E142" s="3">
        <v>5.0000000000000001E-3</v>
      </c>
      <c r="F142" s="3">
        <v>0.44</v>
      </c>
      <c r="G142" s="3">
        <f t="shared" si="4"/>
        <v>3.0336943999999999</v>
      </c>
      <c r="H142" s="3">
        <v>27.094000000000001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64.14</v>
      </c>
      <c r="S142" s="3">
        <v>2.9449999999999998</v>
      </c>
      <c r="T142" s="3">
        <v>0</v>
      </c>
      <c r="U142" s="3">
        <v>0</v>
      </c>
      <c r="V142" s="3"/>
      <c r="W142" s="3">
        <v>6.34</v>
      </c>
      <c r="X142" s="3">
        <v>0</v>
      </c>
      <c r="Y142" s="3">
        <v>0</v>
      </c>
      <c r="Z142" s="4"/>
      <c r="AA142" s="4"/>
    </row>
    <row r="143" spans="1:27" ht="16" x14ac:dyDescent="0.2">
      <c r="A143" s="3" t="s">
        <v>43</v>
      </c>
      <c r="B143" s="3" t="s">
        <v>48</v>
      </c>
      <c r="C143" s="3">
        <v>21</v>
      </c>
      <c r="D143" s="3" t="s">
        <v>46</v>
      </c>
      <c r="E143" s="3">
        <v>2.9000000000000001E-2</v>
      </c>
      <c r="F143" s="3">
        <v>0.84</v>
      </c>
      <c r="G143" s="3">
        <f t="shared" si="4"/>
        <v>5.7915983999999998</v>
      </c>
      <c r="H143" s="3">
        <v>28.617000000000001</v>
      </c>
      <c r="I143" s="3">
        <v>0</v>
      </c>
      <c r="J143" s="3">
        <v>4.3999999999999997E-2</v>
      </c>
      <c r="K143" s="3">
        <v>0.40799999999999997</v>
      </c>
      <c r="L143" s="3">
        <v>0.154</v>
      </c>
      <c r="M143" s="3">
        <v>0.77700000000000002</v>
      </c>
      <c r="N143" s="3">
        <v>0.81</v>
      </c>
      <c r="O143" s="3">
        <v>0.91500000000000004</v>
      </c>
      <c r="P143" s="3">
        <v>0.94499999999999995</v>
      </c>
      <c r="Q143" s="3">
        <v>0.39100000000000001</v>
      </c>
      <c r="R143" s="3">
        <v>63.33</v>
      </c>
      <c r="S143" s="3">
        <v>3.3860000000000001</v>
      </c>
      <c r="T143" s="2"/>
      <c r="U143" s="2"/>
      <c r="V143" s="3"/>
      <c r="W143" s="2"/>
      <c r="X143" s="3">
        <v>0.81</v>
      </c>
      <c r="Y143" s="3">
        <v>0.441</v>
      </c>
      <c r="Z143" s="4"/>
      <c r="AA143" s="4"/>
    </row>
    <row r="144" spans="1:27" ht="16" x14ac:dyDescent="0.2">
      <c r="A144" s="3" t="s">
        <v>43</v>
      </c>
      <c r="B144" s="3" t="s">
        <v>48</v>
      </c>
      <c r="C144" s="3">
        <v>45</v>
      </c>
      <c r="D144" s="3" t="s">
        <v>46</v>
      </c>
      <c r="E144" s="3">
        <v>0.71</v>
      </c>
      <c r="F144" s="3">
        <v>3.08</v>
      </c>
      <c r="G144" s="3">
        <f t="shared" si="4"/>
        <v>21.235860800000001</v>
      </c>
      <c r="H144" s="3">
        <v>36.137999999999998</v>
      </c>
      <c r="I144" s="3">
        <v>0</v>
      </c>
      <c r="J144" s="3">
        <v>0.53600000000000003</v>
      </c>
      <c r="K144" s="3">
        <v>2.0939999999999999</v>
      </c>
      <c r="L144" s="3">
        <v>0.43</v>
      </c>
      <c r="M144" s="3">
        <v>0.28799999999999998</v>
      </c>
      <c r="N144" s="3">
        <v>0.11700000000000001</v>
      </c>
      <c r="O144" s="3">
        <v>3.9470000000000001</v>
      </c>
      <c r="P144" s="3">
        <v>0.32</v>
      </c>
      <c r="Q144" s="3">
        <v>0.34799999999999998</v>
      </c>
      <c r="R144" s="3">
        <v>48.73</v>
      </c>
      <c r="S144" s="3">
        <v>16.454999999999998</v>
      </c>
      <c r="T144" s="2"/>
      <c r="U144" s="2"/>
      <c r="V144" s="3"/>
      <c r="W144" s="2"/>
      <c r="X144" s="3">
        <v>15.41</v>
      </c>
      <c r="Y144" s="3">
        <v>13.51</v>
      </c>
      <c r="Z144" s="4"/>
      <c r="AA144" s="4"/>
    </row>
    <row r="145" spans="1:27" ht="16" x14ac:dyDescent="0.2">
      <c r="A145" s="3" t="s">
        <v>43</v>
      </c>
      <c r="B145" s="3" t="s">
        <v>48</v>
      </c>
      <c r="C145" s="3">
        <v>69</v>
      </c>
      <c r="D145" s="3" t="s">
        <v>46</v>
      </c>
      <c r="E145" s="3">
        <v>1.03</v>
      </c>
      <c r="F145" s="3">
        <v>4.4000000000000004</v>
      </c>
      <c r="G145" s="3">
        <f t="shared" si="4"/>
        <v>30.336944000000003</v>
      </c>
      <c r="H145" s="3">
        <v>26.885999999999999</v>
      </c>
      <c r="I145" s="3">
        <v>0</v>
      </c>
      <c r="J145" s="3">
        <v>0.70499999999999996</v>
      </c>
      <c r="K145" s="3">
        <v>3.4569999999999999</v>
      </c>
      <c r="L145" s="3">
        <v>1.2470000000000001</v>
      </c>
      <c r="M145" s="3">
        <v>0.23400000000000001</v>
      </c>
      <c r="N145" s="3">
        <v>1.6E-2</v>
      </c>
      <c r="O145" s="3">
        <v>6.49</v>
      </c>
      <c r="P145" s="3">
        <v>0.313</v>
      </c>
      <c r="Q145" s="3">
        <v>4.0060000000000002</v>
      </c>
      <c r="R145" s="3">
        <v>29.867999999999999</v>
      </c>
      <c r="S145" s="3">
        <v>28.119</v>
      </c>
      <c r="T145" s="2"/>
      <c r="U145" s="2"/>
      <c r="V145" s="3"/>
      <c r="W145" s="2"/>
      <c r="X145" s="3">
        <v>34.271999999999998</v>
      </c>
      <c r="Y145" s="3">
        <v>25.173999999999999</v>
      </c>
      <c r="Z145" s="4"/>
      <c r="AA145" s="4"/>
    </row>
    <row r="146" spans="1:27" ht="16" x14ac:dyDescent="0.2">
      <c r="A146" s="3" t="s">
        <v>43</v>
      </c>
      <c r="B146" s="3" t="s">
        <v>48</v>
      </c>
      <c r="C146" s="3">
        <v>92</v>
      </c>
      <c r="D146" s="3" t="s">
        <v>46</v>
      </c>
      <c r="E146" s="3">
        <v>1.21</v>
      </c>
      <c r="F146" s="3">
        <v>4.54</v>
      </c>
      <c r="G146" s="3">
        <f t="shared" si="4"/>
        <v>31.3022104</v>
      </c>
      <c r="H146" s="3">
        <v>25.332000000000001</v>
      </c>
      <c r="I146" s="3">
        <v>0</v>
      </c>
      <c r="J146" s="3">
        <v>1.26</v>
      </c>
      <c r="K146" s="3">
        <v>4.7380000000000004</v>
      </c>
      <c r="L146" s="3">
        <v>2.577</v>
      </c>
      <c r="M146" s="3">
        <v>0.48799999999999999</v>
      </c>
      <c r="N146" s="3">
        <v>4.8000000000000001E-2</v>
      </c>
      <c r="O146" s="3">
        <v>8.6549999999999994</v>
      </c>
      <c r="P146" s="3">
        <v>0.79900000000000004</v>
      </c>
      <c r="Q146" s="3">
        <v>8.1159999999999997</v>
      </c>
      <c r="R146" s="3">
        <v>18.271999999999998</v>
      </c>
      <c r="S146" s="3">
        <v>37.551000000000002</v>
      </c>
      <c r="T146" s="2"/>
      <c r="U146" s="2"/>
      <c r="V146" s="3"/>
      <c r="W146" s="2"/>
      <c r="X146" s="3">
        <v>45.868000000000002</v>
      </c>
      <c r="Y146" s="3">
        <v>34.606000000000002</v>
      </c>
      <c r="Z146" s="4"/>
      <c r="AA146" s="4"/>
    </row>
    <row r="147" spans="1:27" ht="16" x14ac:dyDescent="0.2">
      <c r="A147" s="3" t="s">
        <v>43</v>
      </c>
      <c r="B147" s="3" t="s">
        <v>48</v>
      </c>
      <c r="C147" s="3">
        <v>117</v>
      </c>
      <c r="D147" s="3" t="s">
        <v>46</v>
      </c>
      <c r="E147" s="3">
        <v>1.31</v>
      </c>
      <c r="F147" s="3">
        <v>4.32</v>
      </c>
      <c r="G147" s="3">
        <f t="shared" si="4"/>
        <v>29.785363200000003</v>
      </c>
      <c r="H147" s="3">
        <v>19.212</v>
      </c>
      <c r="I147" s="3">
        <v>0</v>
      </c>
      <c r="J147" s="3">
        <v>1.4610000000000001</v>
      </c>
      <c r="K147" s="3">
        <v>4.3029999999999999</v>
      </c>
      <c r="L147" s="3">
        <v>3.3250000000000002</v>
      </c>
      <c r="M147" s="3">
        <v>0.55700000000000005</v>
      </c>
      <c r="N147" s="3">
        <v>6.7000000000000004E-2</v>
      </c>
      <c r="O147" s="3">
        <v>8.7330000000000005</v>
      </c>
      <c r="P147" s="3">
        <v>1.105</v>
      </c>
      <c r="Q147" s="3">
        <v>10.795999999999999</v>
      </c>
      <c r="R147" s="3">
        <v>11.43</v>
      </c>
      <c r="S147" s="3">
        <v>46.77</v>
      </c>
      <c r="T147" s="3">
        <v>2.4180000000000001</v>
      </c>
      <c r="U147" s="3">
        <v>7.8170000000000002</v>
      </c>
      <c r="V147" s="3"/>
      <c r="W147" s="2"/>
      <c r="X147" s="3">
        <v>52.71</v>
      </c>
      <c r="Y147" s="3">
        <v>43.825000000000003</v>
      </c>
      <c r="Z147" s="4"/>
      <c r="AA147" s="4"/>
    </row>
    <row r="148" spans="1:27" ht="16" x14ac:dyDescent="0.2">
      <c r="A148" s="3" t="s">
        <v>43</v>
      </c>
      <c r="B148" s="3" t="s">
        <v>48</v>
      </c>
      <c r="C148" s="3">
        <v>142</v>
      </c>
      <c r="D148" s="3" t="s">
        <v>46</v>
      </c>
      <c r="E148" s="3">
        <v>1.3</v>
      </c>
      <c r="F148" s="3">
        <v>3.9</v>
      </c>
      <c r="G148" s="3">
        <f t="shared" si="4"/>
        <v>26.889564</v>
      </c>
      <c r="H148" s="3">
        <v>20.14</v>
      </c>
      <c r="I148" s="3">
        <v>0.155</v>
      </c>
      <c r="J148" s="3">
        <v>2.6269999999999998</v>
      </c>
      <c r="K148" s="3">
        <v>4.4580000000000002</v>
      </c>
      <c r="L148" s="3">
        <v>4.6390000000000002</v>
      </c>
      <c r="M148" s="3">
        <v>0.45</v>
      </c>
      <c r="N148" s="3">
        <v>3.7999999999999999E-2</v>
      </c>
      <c r="O148" s="3">
        <v>10.288</v>
      </c>
      <c r="P148" s="3">
        <v>1.7230000000000001</v>
      </c>
      <c r="Q148" s="3">
        <v>12.191000000000001</v>
      </c>
      <c r="R148" s="3">
        <v>9.859</v>
      </c>
      <c r="S148" s="3">
        <v>51.939</v>
      </c>
      <c r="T148" s="2"/>
      <c r="U148" s="2"/>
      <c r="V148" s="3"/>
      <c r="W148" s="2"/>
      <c r="X148" s="3">
        <v>54.280999999999999</v>
      </c>
      <c r="Y148" s="3">
        <v>48.994</v>
      </c>
      <c r="Z148" s="4"/>
      <c r="AA148" s="4"/>
    </row>
    <row r="149" spans="1:27" ht="16" x14ac:dyDescent="0.2">
      <c r="A149" s="3" t="s">
        <v>43</v>
      </c>
      <c r="B149" s="3" t="s">
        <v>48</v>
      </c>
      <c r="C149" s="3">
        <v>168</v>
      </c>
      <c r="D149" s="3" t="s">
        <v>46</v>
      </c>
      <c r="E149" s="3">
        <v>1.2</v>
      </c>
      <c r="F149" s="3">
        <v>3.92</v>
      </c>
      <c r="G149" s="3">
        <f t="shared" si="4"/>
        <v>27.027459199999999</v>
      </c>
      <c r="H149" s="3">
        <v>17.007000000000001</v>
      </c>
      <c r="I149" s="3">
        <v>0.13400000000000001</v>
      </c>
      <c r="J149" s="3">
        <v>2.8010000000000002</v>
      </c>
      <c r="K149" s="3">
        <v>4.0049999999999999</v>
      </c>
      <c r="L149" s="3">
        <v>4.8769999999999998</v>
      </c>
      <c r="M149" s="3">
        <v>0.43</v>
      </c>
      <c r="N149" s="3">
        <v>2.8000000000000001E-2</v>
      </c>
      <c r="O149" s="3">
        <v>9.9670000000000005</v>
      </c>
      <c r="P149" s="3">
        <v>1.774</v>
      </c>
      <c r="Q149" s="3">
        <v>12.461</v>
      </c>
      <c r="R149" s="3">
        <v>8.6519999999999992</v>
      </c>
      <c r="S149" s="3">
        <v>54.094000000000001</v>
      </c>
      <c r="T149" s="2"/>
      <c r="U149" s="2"/>
      <c r="V149" s="3"/>
      <c r="W149" s="2"/>
      <c r="X149" s="3">
        <v>55.488</v>
      </c>
      <c r="Y149" s="3">
        <v>51.149000000000001</v>
      </c>
      <c r="Z149" s="4"/>
      <c r="AA149" s="4"/>
    </row>
    <row r="150" spans="1:27" ht="16" x14ac:dyDescent="0.2">
      <c r="A150" s="3" t="s">
        <v>43</v>
      </c>
      <c r="B150" s="3" t="s">
        <v>48</v>
      </c>
      <c r="C150" s="3">
        <v>190</v>
      </c>
      <c r="D150" s="3" t="s">
        <v>46</v>
      </c>
      <c r="E150" s="3">
        <v>1.1299999999999999</v>
      </c>
      <c r="F150" s="3">
        <v>3.72</v>
      </c>
      <c r="G150" s="3">
        <f t="shared" si="4"/>
        <v>25.648507200000001</v>
      </c>
      <c r="H150" s="3">
        <v>17.501000000000001</v>
      </c>
      <c r="I150" s="3">
        <v>0.17799999999999999</v>
      </c>
      <c r="J150" s="3">
        <v>2.9169999999999998</v>
      </c>
      <c r="K150" s="3">
        <v>4.0529999999999999</v>
      </c>
      <c r="L150" s="3">
        <v>5.0439999999999996</v>
      </c>
      <c r="M150" s="3">
        <v>0.45500000000000002</v>
      </c>
      <c r="N150" s="3">
        <v>2.5999999999999999E-2</v>
      </c>
      <c r="O150" s="3">
        <v>10.194000000000001</v>
      </c>
      <c r="P150" s="3">
        <v>1.8169999999999999</v>
      </c>
      <c r="Q150" s="3">
        <v>12.791</v>
      </c>
      <c r="R150" s="3">
        <v>8.3960000000000008</v>
      </c>
      <c r="S150" s="3">
        <v>52.807000000000002</v>
      </c>
      <c r="T150" s="3">
        <v>2.25</v>
      </c>
      <c r="U150" s="3">
        <v>7.2220000000000004</v>
      </c>
      <c r="V150" s="3"/>
      <c r="W150" s="2"/>
      <c r="X150" s="3">
        <v>55.744</v>
      </c>
      <c r="Y150" s="3">
        <v>49.862000000000002</v>
      </c>
      <c r="Z150" s="4"/>
      <c r="AA150" s="4"/>
    </row>
    <row r="151" spans="1:27" ht="16" x14ac:dyDescent="0.2">
      <c r="A151" s="3" t="s">
        <v>43</v>
      </c>
      <c r="B151" s="3" t="s">
        <v>48</v>
      </c>
      <c r="C151" s="3">
        <v>240</v>
      </c>
      <c r="D151" s="3" t="s">
        <v>46</v>
      </c>
      <c r="E151" s="3">
        <v>1.08</v>
      </c>
      <c r="F151" s="2"/>
      <c r="G151" s="3"/>
      <c r="H151" s="3">
        <v>17.170999999999999</v>
      </c>
      <c r="I151" s="3">
        <v>0.13</v>
      </c>
      <c r="J151" s="3">
        <v>2.9649999999999999</v>
      </c>
      <c r="K151" s="3">
        <v>4.0419999999999998</v>
      </c>
      <c r="L151" s="3">
        <v>5.07</v>
      </c>
      <c r="M151" s="3">
        <v>0.47</v>
      </c>
      <c r="N151" s="3">
        <v>2.9000000000000001E-2</v>
      </c>
      <c r="O151" s="3">
        <v>10.050000000000001</v>
      </c>
      <c r="P151" s="3">
        <v>1.897</v>
      </c>
      <c r="Q151" s="3">
        <v>13.032</v>
      </c>
      <c r="R151" s="3">
        <v>7.5970000000000004</v>
      </c>
      <c r="S151" s="3">
        <v>58.085999999999999</v>
      </c>
      <c r="T151" s="3">
        <v>2.8079999999999998</v>
      </c>
      <c r="U151" s="3">
        <v>8.984</v>
      </c>
      <c r="V151" s="3">
        <v>0.51600000000000001</v>
      </c>
      <c r="W151" s="3">
        <v>7.34</v>
      </c>
      <c r="X151" s="3">
        <v>56.542999999999999</v>
      </c>
      <c r="Y151" s="3">
        <v>55.140999999999998</v>
      </c>
      <c r="Z151" s="4"/>
      <c r="AA151" s="4"/>
    </row>
    <row r="152" spans="1:27" ht="16" x14ac:dyDescent="0.2">
      <c r="A152" s="3" t="s">
        <v>43</v>
      </c>
      <c r="B152" s="3" t="s">
        <v>49</v>
      </c>
      <c r="C152" s="3">
        <v>0</v>
      </c>
      <c r="D152" s="3" t="s">
        <v>44</v>
      </c>
      <c r="E152" s="3">
        <v>5.0000000000000001E-3</v>
      </c>
      <c r="F152" s="3">
        <v>0.6</v>
      </c>
      <c r="G152" s="3">
        <f t="shared" si="4"/>
        <v>4.1368559999999999</v>
      </c>
      <c r="H152" s="3">
        <v>27.021999999999998</v>
      </c>
      <c r="I152" s="3">
        <v>27.908000000000001</v>
      </c>
      <c r="J152" s="3">
        <v>0</v>
      </c>
      <c r="K152" s="3">
        <v>0</v>
      </c>
      <c r="L152" s="3">
        <v>0</v>
      </c>
      <c r="M152" s="3">
        <v>1.4999999999999999E-2</v>
      </c>
      <c r="N152" s="3">
        <v>0</v>
      </c>
      <c r="O152" s="3">
        <v>0.22</v>
      </c>
      <c r="P152" s="3">
        <v>0</v>
      </c>
      <c r="Q152" s="3">
        <v>0</v>
      </c>
      <c r="R152" s="3">
        <v>66.006</v>
      </c>
      <c r="S152" s="3">
        <v>3.6469999999999998</v>
      </c>
      <c r="T152" s="3">
        <v>0</v>
      </c>
      <c r="U152" s="3">
        <v>0</v>
      </c>
      <c r="V152" s="3"/>
      <c r="W152" s="3">
        <v>6.35</v>
      </c>
      <c r="X152" s="3">
        <v>0</v>
      </c>
      <c r="Y152" s="3">
        <v>0</v>
      </c>
      <c r="Z152" s="4"/>
      <c r="AA152" s="4"/>
    </row>
    <row r="153" spans="1:27" ht="16" x14ac:dyDescent="0.2">
      <c r="A153" s="3" t="s">
        <v>43</v>
      </c>
      <c r="B153" s="3" t="s">
        <v>49</v>
      </c>
      <c r="C153" s="3">
        <v>21</v>
      </c>
      <c r="D153" s="3" t="s">
        <v>44</v>
      </c>
      <c r="E153" s="3">
        <v>6.4000000000000001E-2</v>
      </c>
      <c r="F153" s="3">
        <v>1.2</v>
      </c>
      <c r="G153" s="3">
        <f t="shared" si="4"/>
        <v>8.2737119999999997</v>
      </c>
      <c r="H153" s="3">
        <v>30.452999999999999</v>
      </c>
      <c r="I153" s="3">
        <v>29.091999999999999</v>
      </c>
      <c r="J153" s="3">
        <v>0</v>
      </c>
      <c r="K153" s="3">
        <v>0</v>
      </c>
      <c r="L153" s="3">
        <v>0</v>
      </c>
      <c r="M153" s="3">
        <v>0.55700000000000005</v>
      </c>
      <c r="N153" s="3">
        <v>0</v>
      </c>
      <c r="O153" s="3">
        <v>0</v>
      </c>
      <c r="P153" s="3">
        <v>0</v>
      </c>
      <c r="Q153" s="3">
        <v>0</v>
      </c>
      <c r="R153" s="3">
        <v>64.290000000000006</v>
      </c>
      <c r="S153" s="3">
        <v>4.5389999999999997</v>
      </c>
      <c r="T153" s="2"/>
      <c r="U153" s="2"/>
      <c r="V153" s="3"/>
      <c r="W153" s="2"/>
      <c r="X153" s="3">
        <v>1.716</v>
      </c>
      <c r="Y153" s="3">
        <v>0.89200000000000002</v>
      </c>
      <c r="Z153" s="4"/>
      <c r="AA153" s="4"/>
    </row>
    <row r="154" spans="1:27" ht="16" x14ac:dyDescent="0.2">
      <c r="A154" s="3" t="s">
        <v>43</v>
      </c>
      <c r="B154" s="3" t="s">
        <v>49</v>
      </c>
      <c r="C154" s="3">
        <v>45</v>
      </c>
      <c r="D154" s="3" t="s">
        <v>44</v>
      </c>
      <c r="E154" s="3">
        <v>0.2</v>
      </c>
      <c r="F154" s="3">
        <v>2.7</v>
      </c>
      <c r="G154" s="3">
        <f t="shared" si="4"/>
        <v>18.615852</v>
      </c>
      <c r="H154" s="3">
        <v>34.698999999999998</v>
      </c>
      <c r="I154" s="3">
        <v>24.015999999999998</v>
      </c>
      <c r="J154" s="3">
        <v>0</v>
      </c>
      <c r="K154" s="3">
        <v>0</v>
      </c>
      <c r="L154" s="3">
        <v>0</v>
      </c>
      <c r="M154" s="3">
        <v>4.2469999999999999</v>
      </c>
      <c r="N154" s="3">
        <v>0</v>
      </c>
      <c r="O154" s="3">
        <v>0</v>
      </c>
      <c r="P154" s="3">
        <v>0.73899999999999999</v>
      </c>
      <c r="Q154" s="3">
        <v>0</v>
      </c>
      <c r="R154" s="3">
        <v>53.622999999999998</v>
      </c>
      <c r="S154" s="3">
        <v>11.145</v>
      </c>
      <c r="T154" s="2"/>
      <c r="U154" s="2"/>
      <c r="V154" s="3"/>
      <c r="W154" s="2"/>
      <c r="X154" s="3">
        <v>12.382999999999999</v>
      </c>
      <c r="Y154" s="3">
        <v>7.4980000000000002</v>
      </c>
      <c r="Z154" s="4"/>
      <c r="AA154" s="4"/>
    </row>
    <row r="155" spans="1:27" ht="16" x14ac:dyDescent="0.2">
      <c r="A155" s="3" t="s">
        <v>43</v>
      </c>
      <c r="B155" s="3" t="s">
        <v>49</v>
      </c>
      <c r="C155" s="3">
        <v>69</v>
      </c>
      <c r="D155" s="3" t="s">
        <v>44</v>
      </c>
      <c r="E155" s="3">
        <v>0.18</v>
      </c>
      <c r="F155" s="3">
        <v>1.1599999999999999</v>
      </c>
      <c r="G155" s="3">
        <f t="shared" si="4"/>
        <v>7.9979215999999989</v>
      </c>
      <c r="H155" s="3">
        <v>35.962000000000003</v>
      </c>
      <c r="I155" s="3">
        <v>20.305</v>
      </c>
      <c r="J155" s="3">
        <v>7.9000000000000001E-2</v>
      </c>
      <c r="K155" s="3">
        <v>0.251</v>
      </c>
      <c r="L155" s="3">
        <v>0</v>
      </c>
      <c r="M155" s="3">
        <v>6.383</v>
      </c>
      <c r="N155" s="3">
        <v>0</v>
      </c>
      <c r="O155" s="3">
        <v>0.122</v>
      </c>
      <c r="P155" s="3">
        <v>2.327</v>
      </c>
      <c r="Q155" s="3">
        <v>0</v>
      </c>
      <c r="R155" s="3">
        <v>44.097999999999999</v>
      </c>
      <c r="S155" s="3">
        <v>15.742000000000001</v>
      </c>
      <c r="T155" s="2"/>
      <c r="U155" s="2"/>
      <c r="V155" s="3"/>
      <c r="W155" s="2"/>
      <c r="X155" s="3">
        <v>21.908000000000001</v>
      </c>
      <c r="Y155" s="3">
        <v>12.095000000000001</v>
      </c>
      <c r="Z155" s="4"/>
      <c r="AA155" s="4"/>
    </row>
    <row r="156" spans="1:27" ht="16" x14ac:dyDescent="0.2">
      <c r="A156" s="3" t="s">
        <v>43</v>
      </c>
      <c r="B156" s="3" t="s">
        <v>49</v>
      </c>
      <c r="C156" s="3">
        <v>92</v>
      </c>
      <c r="D156" s="3" t="s">
        <v>44</v>
      </c>
      <c r="E156" s="3">
        <v>0.52</v>
      </c>
      <c r="F156" s="3">
        <v>2.54</v>
      </c>
      <c r="G156" s="3">
        <f t="shared" si="4"/>
        <v>17.5126904</v>
      </c>
      <c r="H156" s="3">
        <v>41.642000000000003</v>
      </c>
      <c r="I156" s="3">
        <v>13.901999999999999</v>
      </c>
      <c r="J156" s="3">
        <v>0.47899999999999998</v>
      </c>
      <c r="K156" s="3">
        <v>1.1910000000000001</v>
      </c>
      <c r="L156" s="3">
        <v>0.40200000000000002</v>
      </c>
      <c r="M156" s="3">
        <v>8.6720000000000006</v>
      </c>
      <c r="N156" s="3">
        <v>0</v>
      </c>
      <c r="O156" s="3">
        <v>0.84</v>
      </c>
      <c r="P156" s="3">
        <v>6.4139999999999997</v>
      </c>
      <c r="Q156" s="3">
        <v>0</v>
      </c>
      <c r="R156" s="3">
        <v>27.308</v>
      </c>
      <c r="S156" s="3">
        <v>22.65</v>
      </c>
      <c r="T156" s="2"/>
      <c r="U156" s="2"/>
      <c r="V156" s="3"/>
      <c r="W156" s="2"/>
      <c r="X156" s="3">
        <v>38.698</v>
      </c>
      <c r="Y156" s="3">
        <v>19.003</v>
      </c>
      <c r="Z156" s="4"/>
      <c r="AA156" s="4"/>
    </row>
    <row r="157" spans="1:27" ht="16" x14ac:dyDescent="0.2">
      <c r="A157" s="3" t="s">
        <v>43</v>
      </c>
      <c r="B157" s="3" t="s">
        <v>49</v>
      </c>
      <c r="C157" s="3">
        <v>117</v>
      </c>
      <c r="D157" s="3" t="s">
        <v>44</v>
      </c>
      <c r="E157" s="3">
        <v>0.86</v>
      </c>
      <c r="F157" s="3">
        <v>3.28</v>
      </c>
      <c r="G157" s="3">
        <f t="shared" si="4"/>
        <v>22.614812799999999</v>
      </c>
      <c r="H157" s="3">
        <v>40.744</v>
      </c>
      <c r="I157" s="3">
        <v>8.3840000000000003</v>
      </c>
      <c r="J157" s="3">
        <v>1.054</v>
      </c>
      <c r="K157" s="3">
        <v>2.5569999999999999</v>
      </c>
      <c r="L157" s="3">
        <v>1.7509999999999999</v>
      </c>
      <c r="M157" s="3">
        <v>9.5719999999999992</v>
      </c>
      <c r="N157" s="3">
        <v>0</v>
      </c>
      <c r="O157" s="3">
        <v>2.3929999999999998</v>
      </c>
      <c r="P157" s="3">
        <v>11.02</v>
      </c>
      <c r="Q157" s="3">
        <v>0</v>
      </c>
      <c r="R157" s="3"/>
      <c r="S157" s="3"/>
      <c r="T157" s="3">
        <v>2.4849999999999999</v>
      </c>
      <c r="U157" s="3">
        <v>8.5909999999999993</v>
      </c>
      <c r="V157" s="3"/>
      <c r="W157" s="2"/>
      <c r="X157" s="3"/>
      <c r="Y157" s="3"/>
      <c r="Z157" s="4"/>
      <c r="AA157" s="4"/>
    </row>
    <row r="158" spans="1:27" ht="16" x14ac:dyDescent="0.2">
      <c r="A158" s="3" t="s">
        <v>43</v>
      </c>
      <c r="B158" s="3" t="s">
        <v>49</v>
      </c>
      <c r="C158" s="3">
        <v>142</v>
      </c>
      <c r="D158" s="3" t="s">
        <v>44</v>
      </c>
      <c r="E158" s="3">
        <v>1.04</v>
      </c>
      <c r="F158" s="3">
        <v>3.3</v>
      </c>
      <c r="G158" s="3">
        <f t="shared" si="4"/>
        <v>22.752707999999998</v>
      </c>
      <c r="H158" s="3">
        <v>37.082999999999998</v>
      </c>
      <c r="I158" s="3">
        <v>6.7590000000000003</v>
      </c>
      <c r="J158" s="3">
        <v>2.411</v>
      </c>
      <c r="K158" s="3">
        <v>4.024</v>
      </c>
      <c r="L158" s="3">
        <v>4.085</v>
      </c>
      <c r="M158" s="3">
        <v>10.138</v>
      </c>
      <c r="N158" s="3">
        <v>0</v>
      </c>
      <c r="O158" s="3">
        <v>4.2809999999999997</v>
      </c>
      <c r="P158" s="3">
        <v>14.355</v>
      </c>
      <c r="Q158" s="3">
        <v>1.2070000000000001</v>
      </c>
      <c r="R158" s="3">
        <v>9.9390000000000001</v>
      </c>
      <c r="S158" s="3">
        <v>40.774000000000001</v>
      </c>
      <c r="T158" s="2"/>
      <c r="U158" s="2"/>
      <c r="V158" s="3"/>
      <c r="W158" s="2"/>
      <c r="X158" s="3">
        <v>56.067</v>
      </c>
      <c r="Y158" s="3">
        <v>37.127000000000002</v>
      </c>
      <c r="Z158" s="4"/>
      <c r="AA158" s="4"/>
    </row>
    <row r="159" spans="1:27" ht="16" x14ac:dyDescent="0.2">
      <c r="A159" s="3" t="s">
        <v>43</v>
      </c>
      <c r="B159" s="3" t="s">
        <v>49</v>
      </c>
      <c r="C159" s="3">
        <v>168</v>
      </c>
      <c r="D159" s="3" t="s">
        <v>44</v>
      </c>
      <c r="E159" s="3">
        <v>1.1000000000000001</v>
      </c>
      <c r="F159" s="3">
        <v>3.28</v>
      </c>
      <c r="G159" s="3">
        <f t="shared" si="4"/>
        <v>22.614812799999999</v>
      </c>
      <c r="H159" s="3">
        <v>29.344000000000001</v>
      </c>
      <c r="I159" s="3">
        <v>5.2430000000000003</v>
      </c>
      <c r="J159" s="3">
        <v>3.1379999999999999</v>
      </c>
      <c r="K159" s="3">
        <v>4.2210000000000001</v>
      </c>
      <c r="L159" s="3">
        <v>5.4390000000000001</v>
      </c>
      <c r="M159" s="3">
        <v>9.391</v>
      </c>
      <c r="N159" s="3">
        <v>0</v>
      </c>
      <c r="O159" s="3">
        <v>5.1349999999999998</v>
      </c>
      <c r="P159" s="3">
        <v>15.449</v>
      </c>
      <c r="Q159" s="3">
        <v>1.984</v>
      </c>
      <c r="R159" s="3">
        <v>7.8460000000000001</v>
      </c>
      <c r="S159" s="3">
        <v>48.231000000000002</v>
      </c>
      <c r="T159" s="2"/>
      <c r="U159" s="2"/>
      <c r="V159" s="3"/>
      <c r="W159" s="2"/>
      <c r="X159" s="3">
        <v>58.16</v>
      </c>
      <c r="Y159" s="3">
        <v>44.584000000000003</v>
      </c>
      <c r="Z159" s="4"/>
      <c r="AA159" s="4"/>
    </row>
    <row r="160" spans="1:27" ht="16" x14ac:dyDescent="0.2">
      <c r="A160" s="3" t="s">
        <v>43</v>
      </c>
      <c r="B160" s="3" t="s">
        <v>49</v>
      </c>
      <c r="C160" s="3">
        <v>190</v>
      </c>
      <c r="D160" s="3" t="s">
        <v>44</v>
      </c>
      <c r="E160" s="3">
        <v>1.0900000000000001</v>
      </c>
      <c r="F160" s="3">
        <v>3.32</v>
      </c>
      <c r="G160" s="3">
        <f t="shared" si="4"/>
        <v>22.890603199999997</v>
      </c>
      <c r="H160" s="3">
        <v>29.738</v>
      </c>
      <c r="I160" s="3">
        <v>5.4279999999999999</v>
      </c>
      <c r="J160" s="3">
        <v>4.2039999999999997</v>
      </c>
      <c r="K160" s="3">
        <v>4.6669999999999998</v>
      </c>
      <c r="L160" s="3">
        <v>6.7720000000000002</v>
      </c>
      <c r="M160" s="3">
        <v>9.8729999999999993</v>
      </c>
      <c r="N160" s="3">
        <v>0</v>
      </c>
      <c r="O160" s="3">
        <v>6.0869999999999997</v>
      </c>
      <c r="P160" s="3">
        <v>17.654</v>
      </c>
      <c r="Q160" s="3">
        <v>2.66</v>
      </c>
      <c r="R160" s="3">
        <v>7.0209999999999999</v>
      </c>
      <c r="S160" s="3">
        <v>54.645000000000003</v>
      </c>
      <c r="T160" s="3">
        <v>2.4740000000000002</v>
      </c>
      <c r="U160" s="3">
        <v>8.5790000000000006</v>
      </c>
      <c r="V160" s="3"/>
      <c r="W160" s="2"/>
      <c r="X160" s="3">
        <v>58.984999999999999</v>
      </c>
      <c r="Y160" s="3">
        <v>50.997999999999998</v>
      </c>
      <c r="Z160" s="4"/>
      <c r="AA160" s="4"/>
    </row>
    <row r="161" spans="1:27" ht="16" x14ac:dyDescent="0.2">
      <c r="A161" s="3" t="s">
        <v>43</v>
      </c>
      <c r="B161" s="3" t="s">
        <v>49</v>
      </c>
      <c r="C161" s="3">
        <v>240</v>
      </c>
      <c r="D161" s="3" t="s">
        <v>44</v>
      </c>
      <c r="E161" s="3">
        <v>0.94</v>
      </c>
      <c r="F161" s="2"/>
      <c r="G161" s="3"/>
      <c r="H161" s="3">
        <v>31.398</v>
      </c>
      <c r="I161" s="3">
        <v>5.5119999999999996</v>
      </c>
      <c r="J161" s="3">
        <v>5.6529999999999996</v>
      </c>
      <c r="K161" s="3">
        <v>5.1269999999999998</v>
      </c>
      <c r="L161" s="3">
        <v>8.0500000000000007</v>
      </c>
      <c r="M161" s="3">
        <v>10.478999999999999</v>
      </c>
      <c r="N161" s="3">
        <v>0</v>
      </c>
      <c r="O161" s="3">
        <v>7.2380000000000004</v>
      </c>
      <c r="P161" s="3">
        <v>20.806999999999999</v>
      </c>
      <c r="Q161" s="3">
        <v>3.4319999999999999</v>
      </c>
      <c r="R161" s="3">
        <v>6.141</v>
      </c>
      <c r="S161" s="3">
        <v>64.198999999999998</v>
      </c>
      <c r="T161" s="3">
        <v>2.992</v>
      </c>
      <c r="U161" s="3">
        <v>9.3480000000000008</v>
      </c>
      <c r="V161" s="3">
        <v>0.157</v>
      </c>
      <c r="W161" s="3">
        <v>7.22</v>
      </c>
      <c r="X161" s="3">
        <v>59.865000000000002</v>
      </c>
      <c r="Y161" s="3">
        <v>60.552</v>
      </c>
      <c r="Z161" s="4"/>
      <c r="AA161" s="4"/>
    </row>
    <row r="162" spans="1:27" ht="16" x14ac:dyDescent="0.2">
      <c r="A162" s="3" t="s">
        <v>43</v>
      </c>
      <c r="B162" s="3" t="s">
        <v>49</v>
      </c>
      <c r="C162" s="3">
        <v>0</v>
      </c>
      <c r="D162" s="3" t="s">
        <v>45</v>
      </c>
      <c r="E162" s="3">
        <v>6.0000000000000001E-3</v>
      </c>
      <c r="F162" s="3">
        <v>0.6</v>
      </c>
      <c r="G162" s="3">
        <f t="shared" si="4"/>
        <v>4.1368559999999999</v>
      </c>
      <c r="H162" s="3">
        <v>27.969000000000001</v>
      </c>
      <c r="I162" s="3">
        <v>32.058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64.406999999999996</v>
      </c>
      <c r="S162" s="3">
        <v>3.6309999999999998</v>
      </c>
      <c r="T162" s="3">
        <v>0</v>
      </c>
      <c r="U162" s="3">
        <v>0</v>
      </c>
      <c r="V162" s="3"/>
      <c r="W162" s="3">
        <v>6.35</v>
      </c>
      <c r="X162" s="3">
        <v>0</v>
      </c>
      <c r="Y162" s="3">
        <v>0</v>
      </c>
      <c r="Z162" s="4"/>
      <c r="AA162" s="4"/>
    </row>
    <row r="163" spans="1:27" ht="16" x14ac:dyDescent="0.2">
      <c r="A163" s="3" t="s">
        <v>43</v>
      </c>
      <c r="B163" s="3" t="s">
        <v>49</v>
      </c>
      <c r="C163" s="3">
        <v>21</v>
      </c>
      <c r="D163" s="3" t="s">
        <v>45</v>
      </c>
      <c r="E163" s="3">
        <v>0.13900000000000001</v>
      </c>
      <c r="F163" s="3">
        <v>1.58</v>
      </c>
      <c r="G163" s="3">
        <f t="shared" si="4"/>
        <v>10.893720800000001</v>
      </c>
      <c r="H163" s="3">
        <v>33.145000000000003</v>
      </c>
      <c r="I163" s="3">
        <v>32.450000000000003</v>
      </c>
      <c r="J163" s="3">
        <v>0</v>
      </c>
      <c r="K163" s="3">
        <v>0</v>
      </c>
      <c r="L163" s="3">
        <v>0</v>
      </c>
      <c r="M163" s="3">
        <v>1.484</v>
      </c>
      <c r="N163" s="3">
        <v>0</v>
      </c>
      <c r="O163" s="3">
        <v>0</v>
      </c>
      <c r="P163" s="3">
        <v>0</v>
      </c>
      <c r="Q163" s="3">
        <v>0</v>
      </c>
      <c r="R163" s="3">
        <v>61.131</v>
      </c>
      <c r="S163" s="3">
        <v>6.2130000000000001</v>
      </c>
      <c r="T163" s="2"/>
      <c r="U163" s="2"/>
      <c r="V163" s="3"/>
      <c r="W163" s="2"/>
      <c r="X163" s="3">
        <v>3.2759999999999998</v>
      </c>
      <c r="Y163" s="3">
        <v>2.5819999999999999</v>
      </c>
      <c r="Z163" s="4"/>
      <c r="AA163" s="4"/>
    </row>
    <row r="164" spans="1:27" ht="16" x14ac:dyDescent="0.2">
      <c r="A164" s="3" t="s">
        <v>43</v>
      </c>
      <c r="B164" s="3" t="s">
        <v>49</v>
      </c>
      <c r="C164" s="3">
        <v>45</v>
      </c>
      <c r="D164" s="3" t="s">
        <v>45</v>
      </c>
      <c r="E164" s="3">
        <v>0.16</v>
      </c>
      <c r="F164" s="3">
        <v>3.42</v>
      </c>
      <c r="G164" s="3">
        <f t="shared" si="4"/>
        <v>23.5800792</v>
      </c>
      <c r="H164" s="3">
        <v>35.152000000000001</v>
      </c>
      <c r="I164" s="3">
        <v>23.763999999999999</v>
      </c>
      <c r="J164" s="3">
        <v>5.7000000000000002E-2</v>
      </c>
      <c r="K164" s="3">
        <v>9.5000000000000001E-2</v>
      </c>
      <c r="L164" s="3">
        <v>0</v>
      </c>
      <c r="M164" s="3">
        <v>5.8579999999999997</v>
      </c>
      <c r="N164" s="3">
        <v>0</v>
      </c>
      <c r="O164" s="3">
        <v>5.0000000000000001E-3</v>
      </c>
      <c r="P164" s="3">
        <v>1.5329999999999999</v>
      </c>
      <c r="Q164" s="3">
        <v>0</v>
      </c>
      <c r="R164" s="3">
        <v>46.36</v>
      </c>
      <c r="S164" s="3">
        <v>14.048999999999999</v>
      </c>
      <c r="T164" s="2"/>
      <c r="U164" s="2"/>
      <c r="V164" s="3"/>
      <c r="W164" s="2"/>
      <c r="X164" s="3">
        <v>18.047000000000001</v>
      </c>
      <c r="Y164" s="3">
        <v>10.417999999999999</v>
      </c>
      <c r="Z164" s="4"/>
      <c r="AA164" s="4"/>
    </row>
    <row r="165" spans="1:27" ht="16" x14ac:dyDescent="0.2">
      <c r="A165" s="3" t="s">
        <v>43</v>
      </c>
      <c r="B165" s="3" t="s">
        <v>49</v>
      </c>
      <c r="C165" s="3">
        <v>69</v>
      </c>
      <c r="D165" s="3" t="s">
        <v>45</v>
      </c>
      <c r="E165" s="3">
        <v>0.16</v>
      </c>
      <c r="F165" s="3">
        <v>0.96</v>
      </c>
      <c r="G165" s="3">
        <f t="shared" si="4"/>
        <v>6.6189695999999998</v>
      </c>
      <c r="H165" s="3">
        <v>44.51</v>
      </c>
      <c r="I165" s="3">
        <v>23.568999999999999</v>
      </c>
      <c r="J165" s="3">
        <v>0.30299999999999999</v>
      </c>
      <c r="K165" s="3">
        <v>0.432</v>
      </c>
      <c r="L165" s="3">
        <v>0</v>
      </c>
      <c r="M165" s="3">
        <v>8.1709999999999994</v>
      </c>
      <c r="N165" s="3">
        <v>0</v>
      </c>
      <c r="O165" s="3">
        <v>0.252</v>
      </c>
      <c r="P165" s="3">
        <v>3.2450000000000001</v>
      </c>
      <c r="Q165" s="3">
        <v>0</v>
      </c>
      <c r="R165" s="3">
        <v>40.473999999999997</v>
      </c>
      <c r="S165" s="3">
        <v>17.687999999999999</v>
      </c>
      <c r="T165" s="2"/>
      <c r="U165" s="2"/>
      <c r="V165" s="3"/>
      <c r="W165" s="2"/>
      <c r="X165" s="3">
        <v>23.933</v>
      </c>
      <c r="Y165" s="3">
        <v>14.057</v>
      </c>
      <c r="Z165" s="4"/>
      <c r="AA165" s="4"/>
    </row>
    <row r="166" spans="1:27" ht="16" x14ac:dyDescent="0.2">
      <c r="A166" s="3" t="s">
        <v>43</v>
      </c>
      <c r="B166" s="3" t="s">
        <v>49</v>
      </c>
      <c r="C166" s="3">
        <v>92</v>
      </c>
      <c r="D166" s="3" t="s">
        <v>45</v>
      </c>
      <c r="E166" s="3">
        <v>0.55000000000000004</v>
      </c>
      <c r="F166" s="3">
        <v>2.58</v>
      </c>
      <c r="G166" s="3">
        <f t="shared" si="4"/>
        <v>17.788480799999999</v>
      </c>
      <c r="H166" s="3">
        <v>38.624000000000002</v>
      </c>
      <c r="I166" s="3">
        <v>13.486000000000001</v>
      </c>
      <c r="J166" s="3">
        <v>0.47499999999999998</v>
      </c>
      <c r="K166" s="3">
        <v>0.96899999999999997</v>
      </c>
      <c r="L166" s="3">
        <v>0.502</v>
      </c>
      <c r="M166" s="3">
        <v>8.7070000000000007</v>
      </c>
      <c r="N166" s="3">
        <v>0</v>
      </c>
      <c r="O166" s="3">
        <v>0.85099999999999998</v>
      </c>
      <c r="P166" s="3">
        <v>6.71</v>
      </c>
      <c r="Q166" s="3">
        <v>0</v>
      </c>
      <c r="R166" s="3">
        <v>19.469000000000001</v>
      </c>
      <c r="S166" s="3">
        <v>25.042999999999999</v>
      </c>
      <c r="T166" s="2"/>
      <c r="U166" s="2"/>
      <c r="V166" s="3"/>
      <c r="W166" s="2"/>
      <c r="X166" s="3">
        <v>44.938000000000002</v>
      </c>
      <c r="Y166" s="3">
        <v>21.411999999999999</v>
      </c>
      <c r="Z166" s="4"/>
      <c r="AA166" s="4"/>
    </row>
    <row r="167" spans="1:27" ht="16" x14ac:dyDescent="0.2">
      <c r="A167" s="3" t="s">
        <v>43</v>
      </c>
      <c r="B167" s="3" t="s">
        <v>49</v>
      </c>
      <c r="C167" s="3">
        <v>117</v>
      </c>
      <c r="D167" s="3" t="s">
        <v>45</v>
      </c>
      <c r="E167" s="3">
        <v>0.79</v>
      </c>
      <c r="F167" s="3">
        <v>2.9</v>
      </c>
      <c r="G167" s="3">
        <f t="shared" si="4"/>
        <v>19.994803999999998</v>
      </c>
      <c r="H167" s="3">
        <v>36.646999999999998</v>
      </c>
      <c r="I167" s="3">
        <v>9.5410000000000004</v>
      </c>
      <c r="J167" s="3">
        <v>0.98599999999999999</v>
      </c>
      <c r="K167" s="3">
        <v>2.153</v>
      </c>
      <c r="L167" s="3">
        <v>1.748</v>
      </c>
      <c r="M167" s="3">
        <v>9.7260000000000009</v>
      </c>
      <c r="N167" s="3">
        <v>0</v>
      </c>
      <c r="O167" s="3">
        <v>2.0539999999999998</v>
      </c>
      <c r="P167" s="3">
        <v>10.6</v>
      </c>
      <c r="Q167" s="3">
        <v>0</v>
      </c>
      <c r="R167" s="3"/>
      <c r="S167" s="3"/>
      <c r="T167" s="3">
        <v>2.4500000000000002</v>
      </c>
      <c r="U167" s="3">
        <v>8.2360000000000007</v>
      </c>
      <c r="V167" s="3"/>
      <c r="W167" s="2"/>
      <c r="X167" s="3"/>
      <c r="Y167" s="3"/>
      <c r="Z167" s="4"/>
      <c r="AA167" s="4"/>
    </row>
    <row r="168" spans="1:27" ht="16" x14ac:dyDescent="0.2">
      <c r="A168" s="3" t="s">
        <v>43</v>
      </c>
      <c r="B168" s="3" t="s">
        <v>49</v>
      </c>
      <c r="C168" s="3">
        <v>142</v>
      </c>
      <c r="D168" s="3" t="s">
        <v>45</v>
      </c>
      <c r="E168" s="3">
        <v>0.97</v>
      </c>
      <c r="F168" s="3">
        <v>2.78</v>
      </c>
      <c r="G168" s="3">
        <f t="shared" si="4"/>
        <v>19.167432799999997</v>
      </c>
      <c r="H168" s="3">
        <v>46.719000000000001</v>
      </c>
      <c r="I168" s="3">
        <v>9.6780000000000008</v>
      </c>
      <c r="J168" s="3">
        <v>2.645</v>
      </c>
      <c r="K168" s="3">
        <v>4.4889999999999999</v>
      </c>
      <c r="L168" s="3">
        <v>4.6379999999999999</v>
      </c>
      <c r="M168" s="3">
        <v>12.746</v>
      </c>
      <c r="N168" s="3">
        <v>0</v>
      </c>
      <c r="O168" s="3">
        <v>4.1050000000000004</v>
      </c>
      <c r="P168" s="3">
        <v>15.316000000000001</v>
      </c>
      <c r="Q168" s="3">
        <v>0.92700000000000005</v>
      </c>
      <c r="R168" s="3">
        <v>9.9079999999999995</v>
      </c>
      <c r="S168" s="3">
        <v>43.158000000000001</v>
      </c>
      <c r="T168" s="2"/>
      <c r="U168" s="2"/>
      <c r="V168" s="3"/>
      <c r="W168" s="2"/>
      <c r="X168" s="3">
        <v>54.499000000000002</v>
      </c>
      <c r="Y168" s="3">
        <v>39.527000000000001</v>
      </c>
      <c r="Z168" s="4"/>
      <c r="AA168" s="4"/>
    </row>
    <row r="169" spans="1:27" ht="16" x14ac:dyDescent="0.2">
      <c r="A169" s="3" t="s">
        <v>43</v>
      </c>
      <c r="B169" s="3" t="s">
        <v>49</v>
      </c>
      <c r="C169" s="3">
        <v>168</v>
      </c>
      <c r="D169" s="3" t="s">
        <v>45</v>
      </c>
      <c r="E169" s="3">
        <v>1.03</v>
      </c>
      <c r="F169" s="3">
        <v>2.76</v>
      </c>
      <c r="G169" s="3">
        <f t="shared" si="4"/>
        <v>19.029537599999998</v>
      </c>
      <c r="H169" s="3">
        <v>39.347000000000001</v>
      </c>
      <c r="I169" s="3">
        <v>7.9</v>
      </c>
      <c r="J169" s="3">
        <v>3.3730000000000002</v>
      </c>
      <c r="K169" s="3">
        <v>4.9039999999999999</v>
      </c>
      <c r="L169" s="3">
        <v>6.3789999999999996</v>
      </c>
      <c r="M169" s="3">
        <v>12.443</v>
      </c>
      <c r="N169" s="3">
        <v>0</v>
      </c>
      <c r="O169" s="3">
        <v>5.2469999999999999</v>
      </c>
      <c r="P169" s="3">
        <v>17.494</v>
      </c>
      <c r="Q169" s="3">
        <v>1.7350000000000001</v>
      </c>
      <c r="R169" s="3">
        <v>7.569</v>
      </c>
      <c r="S169" s="3">
        <v>47.475000000000001</v>
      </c>
      <c r="T169" s="2"/>
      <c r="U169" s="2"/>
      <c r="V169" s="3"/>
      <c r="W169" s="2"/>
      <c r="X169" s="3">
        <v>56.838000000000001</v>
      </c>
      <c r="Y169" s="3">
        <v>43.844000000000001</v>
      </c>
      <c r="Z169" s="4"/>
      <c r="AA169" s="4"/>
    </row>
    <row r="170" spans="1:27" ht="16" x14ac:dyDescent="0.2">
      <c r="A170" s="3" t="s">
        <v>43</v>
      </c>
      <c r="B170" s="3" t="s">
        <v>49</v>
      </c>
      <c r="C170" s="3">
        <v>190</v>
      </c>
      <c r="D170" s="3" t="s">
        <v>45</v>
      </c>
      <c r="E170" s="3">
        <v>1.03</v>
      </c>
      <c r="F170" s="3">
        <v>2.9</v>
      </c>
      <c r="G170" s="3">
        <f t="shared" si="4"/>
        <v>19.994803999999998</v>
      </c>
      <c r="H170" s="3">
        <v>28.465</v>
      </c>
      <c r="I170" s="3">
        <v>5.9059999999999997</v>
      </c>
      <c r="J170" s="3">
        <v>3.512</v>
      </c>
      <c r="K170" s="3">
        <v>4.1859999999999999</v>
      </c>
      <c r="L170" s="3">
        <v>6.3289999999999997</v>
      </c>
      <c r="M170" s="3">
        <v>10.134</v>
      </c>
      <c r="N170" s="3">
        <v>0</v>
      </c>
      <c r="O170" s="3">
        <v>4.9660000000000002</v>
      </c>
      <c r="P170" s="3">
        <v>16.428999999999998</v>
      </c>
      <c r="Q170" s="3">
        <v>1.968</v>
      </c>
      <c r="R170" s="3">
        <v>6.8639999999999999</v>
      </c>
      <c r="S170" s="3">
        <v>52.959000000000003</v>
      </c>
      <c r="T170" s="3">
        <v>2.3929999999999998</v>
      </c>
      <c r="U170" s="3">
        <v>7.8339999999999996</v>
      </c>
      <c r="V170" s="3"/>
      <c r="W170" s="2"/>
      <c r="X170" s="3">
        <v>57.542999999999999</v>
      </c>
      <c r="Y170" s="3">
        <v>49.328000000000003</v>
      </c>
      <c r="Z170" s="4"/>
      <c r="AA170" s="4"/>
    </row>
    <row r="171" spans="1:27" ht="16" x14ac:dyDescent="0.2">
      <c r="A171" s="3" t="s">
        <v>43</v>
      </c>
      <c r="B171" s="3" t="s">
        <v>49</v>
      </c>
      <c r="C171" s="3">
        <v>240</v>
      </c>
      <c r="D171" s="3" t="s">
        <v>45</v>
      </c>
      <c r="E171" s="3">
        <v>0.91</v>
      </c>
      <c r="F171" s="2"/>
      <c r="G171" s="3"/>
      <c r="H171" s="3">
        <v>27.001000000000001</v>
      </c>
      <c r="I171" s="3">
        <v>5.3129999999999997</v>
      </c>
      <c r="J171" s="3">
        <v>4.7949999999999999</v>
      </c>
      <c r="K171" s="3">
        <v>4.2889999999999997</v>
      </c>
      <c r="L171" s="3">
        <v>7.0620000000000003</v>
      </c>
      <c r="M171" s="3">
        <v>9.8670000000000009</v>
      </c>
      <c r="N171" s="3">
        <v>0</v>
      </c>
      <c r="O171" s="3">
        <v>5.601</v>
      </c>
      <c r="P171" s="3">
        <v>18.350000000000001</v>
      </c>
      <c r="Q171" s="3">
        <v>2.34</v>
      </c>
      <c r="R171" s="3">
        <v>5.9210000000000003</v>
      </c>
      <c r="S171" s="3">
        <v>63.061999999999998</v>
      </c>
      <c r="T171" s="3">
        <v>3.008</v>
      </c>
      <c r="U171" s="3">
        <v>9.8149999999999995</v>
      </c>
      <c r="V171" s="3">
        <v>0.13600000000000001</v>
      </c>
      <c r="W171" s="3">
        <v>7.33</v>
      </c>
      <c r="X171" s="3">
        <v>58.485999999999997</v>
      </c>
      <c r="Y171" s="3">
        <v>59.430999999999997</v>
      </c>
      <c r="Z171" s="4"/>
      <c r="AA171" s="4"/>
    </row>
    <row r="172" spans="1:27" ht="16" x14ac:dyDescent="0.2">
      <c r="A172" s="3" t="s">
        <v>43</v>
      </c>
      <c r="B172" s="3" t="s">
        <v>49</v>
      </c>
      <c r="C172" s="3">
        <v>0</v>
      </c>
      <c r="D172" s="3" t="s">
        <v>46</v>
      </c>
      <c r="E172" s="3">
        <v>7.0000000000000001E-3</v>
      </c>
      <c r="F172" s="3">
        <v>0.6</v>
      </c>
      <c r="G172" s="3">
        <f t="shared" si="4"/>
        <v>4.1368559999999999</v>
      </c>
      <c r="H172" s="3">
        <v>27.815999999999999</v>
      </c>
      <c r="I172" s="3">
        <v>25.795000000000002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62.649000000000001</v>
      </c>
      <c r="S172" s="3">
        <v>3.532</v>
      </c>
      <c r="T172" s="3">
        <v>0</v>
      </c>
      <c r="U172" s="3">
        <v>0</v>
      </c>
      <c r="V172" s="3"/>
      <c r="W172" s="3">
        <v>6.35</v>
      </c>
      <c r="X172" s="3">
        <v>0</v>
      </c>
      <c r="Y172" s="3">
        <v>0</v>
      </c>
      <c r="Z172" s="4"/>
      <c r="AA172" s="4"/>
    </row>
    <row r="173" spans="1:27" ht="16" x14ac:dyDescent="0.2">
      <c r="A173" s="3" t="s">
        <v>43</v>
      </c>
      <c r="B173" s="3" t="s">
        <v>49</v>
      </c>
      <c r="C173" s="3">
        <v>21</v>
      </c>
      <c r="D173" s="3" t="s">
        <v>46</v>
      </c>
      <c r="E173" s="3">
        <v>6.9000000000000006E-2</v>
      </c>
      <c r="F173" s="3">
        <v>0.96</v>
      </c>
      <c r="G173" s="3">
        <f t="shared" si="4"/>
        <v>6.6189695999999998</v>
      </c>
      <c r="H173" s="3">
        <v>30.475999999999999</v>
      </c>
      <c r="I173" s="3">
        <v>28.143999999999998</v>
      </c>
      <c r="J173" s="3">
        <v>0</v>
      </c>
      <c r="K173" s="3">
        <v>0</v>
      </c>
      <c r="L173" s="3">
        <v>0</v>
      </c>
      <c r="M173" s="3">
        <v>0.755</v>
      </c>
      <c r="N173" s="3">
        <v>0</v>
      </c>
      <c r="O173" s="3">
        <v>0</v>
      </c>
      <c r="P173" s="3">
        <v>0</v>
      </c>
      <c r="Q173" s="3">
        <v>0</v>
      </c>
      <c r="R173" s="3">
        <v>60.978999999999999</v>
      </c>
      <c r="S173" s="3">
        <v>4.431</v>
      </c>
      <c r="T173" s="2"/>
      <c r="U173" s="2"/>
      <c r="V173" s="3"/>
      <c r="W173" s="2"/>
      <c r="X173" s="3">
        <v>1.67</v>
      </c>
      <c r="Y173" s="3">
        <v>0.89900000000000002</v>
      </c>
      <c r="Z173" s="4"/>
      <c r="AA173" s="4"/>
    </row>
    <row r="174" spans="1:27" ht="16" x14ac:dyDescent="0.2">
      <c r="A174" s="3" t="s">
        <v>43</v>
      </c>
      <c r="B174" s="3" t="s">
        <v>49</v>
      </c>
      <c r="C174" s="3">
        <v>69</v>
      </c>
      <c r="D174" s="3" t="s">
        <v>46</v>
      </c>
      <c r="E174" s="3">
        <v>0.17</v>
      </c>
      <c r="F174" s="3">
        <v>0.96</v>
      </c>
      <c r="G174" s="3">
        <f t="shared" si="4"/>
        <v>6.6189695999999998</v>
      </c>
      <c r="H174" s="3">
        <v>43.006</v>
      </c>
      <c r="I174" s="3">
        <v>19.506</v>
      </c>
      <c r="J174" s="3">
        <v>0.2</v>
      </c>
      <c r="K174" s="3">
        <v>0.42699999999999999</v>
      </c>
      <c r="L174" s="3">
        <v>0</v>
      </c>
      <c r="M174" s="3">
        <v>7.2619999999999996</v>
      </c>
      <c r="N174" s="3">
        <v>0</v>
      </c>
      <c r="O174" s="3">
        <v>0.29499999999999998</v>
      </c>
      <c r="P174" s="3">
        <v>3.1960000000000002</v>
      </c>
      <c r="Q174" s="3">
        <v>0</v>
      </c>
      <c r="R174" s="3">
        <v>40.341000000000001</v>
      </c>
      <c r="S174" s="3">
        <v>16.995000000000001</v>
      </c>
      <c r="T174" s="2"/>
      <c r="U174" s="2"/>
      <c r="V174" s="3"/>
      <c r="W174" s="2"/>
      <c r="X174" s="3">
        <v>22.308</v>
      </c>
      <c r="Y174" s="3">
        <v>13.462999999999999</v>
      </c>
      <c r="Z174" s="4"/>
      <c r="AA174" s="4"/>
    </row>
    <row r="175" spans="1:27" ht="16" x14ac:dyDescent="0.2">
      <c r="A175" s="3" t="s">
        <v>43</v>
      </c>
      <c r="B175" s="3" t="s">
        <v>49</v>
      </c>
      <c r="C175" s="3">
        <v>117</v>
      </c>
      <c r="D175" s="3" t="s">
        <v>46</v>
      </c>
      <c r="E175" s="3">
        <v>0.93</v>
      </c>
      <c r="F175" s="3">
        <v>2.76</v>
      </c>
      <c r="G175" s="3">
        <f t="shared" si="4"/>
        <v>19.029537599999998</v>
      </c>
      <c r="H175" s="3">
        <v>42.335000000000001</v>
      </c>
      <c r="I175" s="3">
        <v>7.7089999999999996</v>
      </c>
      <c r="J175" s="3">
        <v>1.141</v>
      </c>
      <c r="K175" s="3">
        <v>3.07</v>
      </c>
      <c r="L175" s="3">
        <v>2.17</v>
      </c>
      <c r="M175" s="3">
        <v>9.5969999999999995</v>
      </c>
      <c r="N175" s="3">
        <v>0</v>
      </c>
      <c r="O175" s="3">
        <v>2.8719999999999999</v>
      </c>
      <c r="P175" s="3">
        <v>11.459</v>
      </c>
      <c r="Q175" s="3">
        <v>0</v>
      </c>
      <c r="R175" s="3"/>
      <c r="S175" s="3"/>
      <c r="T175" s="3">
        <v>2.367</v>
      </c>
      <c r="U175" s="3">
        <v>7.55</v>
      </c>
      <c r="V175" s="3"/>
      <c r="W175" s="2"/>
      <c r="X175" s="3"/>
      <c r="Y175" s="3"/>
      <c r="Z175" s="4"/>
      <c r="AA175" s="4"/>
    </row>
    <row r="176" spans="1:27" ht="16" x14ac:dyDescent="0.2">
      <c r="A176" s="3" t="s">
        <v>43</v>
      </c>
      <c r="B176" s="3" t="s">
        <v>49</v>
      </c>
      <c r="C176" s="3">
        <v>168</v>
      </c>
      <c r="D176" s="3" t="s">
        <v>46</v>
      </c>
      <c r="E176" s="3">
        <v>1.22</v>
      </c>
      <c r="F176" s="3">
        <v>2.66</v>
      </c>
      <c r="G176" s="3">
        <f t="shared" si="4"/>
        <v>18.340061600000002</v>
      </c>
      <c r="H176" s="3">
        <v>31.588000000000001</v>
      </c>
      <c r="I176" s="3">
        <v>5.2539999999999996</v>
      </c>
      <c r="J176" s="3">
        <v>3.5449999999999999</v>
      </c>
      <c r="K176" s="3">
        <v>4.843</v>
      </c>
      <c r="L176" s="3">
        <v>5.9189999999999996</v>
      </c>
      <c r="M176" s="3">
        <v>9.2200000000000006</v>
      </c>
      <c r="N176" s="3">
        <v>0</v>
      </c>
      <c r="O176" s="3">
        <v>5.8680000000000003</v>
      </c>
      <c r="P176" s="3">
        <v>14.612</v>
      </c>
      <c r="Q176" s="3">
        <v>2.6190000000000002</v>
      </c>
      <c r="R176" s="3">
        <v>7.0860000000000003</v>
      </c>
      <c r="S176" s="3">
        <v>50.320999999999998</v>
      </c>
      <c r="T176" s="2"/>
      <c r="U176" s="2"/>
      <c r="V176" s="3"/>
      <c r="W176" s="2"/>
      <c r="X176" s="3">
        <v>55.563000000000002</v>
      </c>
      <c r="Y176" s="3">
        <v>46.789000000000001</v>
      </c>
      <c r="Z176" s="4"/>
      <c r="AA176" s="4"/>
    </row>
    <row r="177" spans="1:27" ht="16" x14ac:dyDescent="0.2">
      <c r="A177" s="3" t="s">
        <v>43</v>
      </c>
      <c r="B177" s="3" t="s">
        <v>49</v>
      </c>
      <c r="C177" s="3">
        <v>240</v>
      </c>
      <c r="D177" s="3" t="s">
        <v>46</v>
      </c>
      <c r="E177" s="3">
        <v>0.94</v>
      </c>
      <c r="F177" s="2"/>
      <c r="G177" s="3"/>
      <c r="H177" s="3">
        <v>30.425999999999998</v>
      </c>
      <c r="I177" s="3">
        <v>5.1260000000000003</v>
      </c>
      <c r="J177" s="3">
        <v>5.1920000000000002</v>
      </c>
      <c r="K177" s="3">
        <v>5.069</v>
      </c>
      <c r="L177" s="3">
        <v>7.3920000000000003</v>
      </c>
      <c r="M177" s="3">
        <v>9.27</v>
      </c>
      <c r="N177" s="3">
        <v>0</v>
      </c>
      <c r="O177" s="3">
        <v>7.1879999999999997</v>
      </c>
      <c r="P177" s="3">
        <v>17.867999999999999</v>
      </c>
      <c r="Q177" s="3">
        <v>3.3980000000000001</v>
      </c>
      <c r="R177" s="3">
        <v>6.0890000000000004</v>
      </c>
      <c r="S177" s="3">
        <v>63.972999999999999</v>
      </c>
      <c r="T177" s="3">
        <v>2.7450000000000001</v>
      </c>
      <c r="U177" s="3">
        <v>9.1240000000000006</v>
      </c>
      <c r="V177" s="3">
        <v>0.255</v>
      </c>
      <c r="W177" s="3">
        <v>7.33</v>
      </c>
      <c r="X177" s="3">
        <v>56.56</v>
      </c>
      <c r="Y177" s="3">
        <v>60.441000000000003</v>
      </c>
      <c r="Z177" s="4"/>
      <c r="AA177" s="4"/>
    </row>
    <row r="178" spans="1:27" ht="16" x14ac:dyDescent="0.2">
      <c r="A178" s="3" t="s">
        <v>43</v>
      </c>
      <c r="B178" s="3" t="s">
        <v>50</v>
      </c>
      <c r="C178" s="3">
        <v>0</v>
      </c>
      <c r="D178" s="3" t="s">
        <v>44</v>
      </c>
      <c r="E178" s="3">
        <v>8.0000000000000002E-3</v>
      </c>
      <c r="F178" s="3">
        <v>0.54</v>
      </c>
      <c r="G178" s="3">
        <f t="shared" si="4"/>
        <v>3.7231704000000003</v>
      </c>
      <c r="H178" s="3">
        <v>36.4</v>
      </c>
      <c r="I178" s="3">
        <v>0</v>
      </c>
      <c r="J178" s="3">
        <v>0</v>
      </c>
      <c r="K178" s="3">
        <v>0</v>
      </c>
      <c r="L178" s="3">
        <v>0</v>
      </c>
      <c r="M178" s="3">
        <v>0.41399999999999998</v>
      </c>
      <c r="N178" s="3">
        <v>0</v>
      </c>
      <c r="O178" s="3">
        <v>0</v>
      </c>
      <c r="P178" s="3">
        <v>0.441</v>
      </c>
      <c r="Q178" s="3">
        <v>0</v>
      </c>
      <c r="R178" s="3"/>
      <c r="S178" s="3">
        <v>3.2410000000000001</v>
      </c>
      <c r="T178" s="3">
        <v>0</v>
      </c>
      <c r="U178" s="3">
        <v>0</v>
      </c>
      <c r="V178" s="3"/>
      <c r="W178" s="3">
        <v>6.34</v>
      </c>
      <c r="X178" s="3"/>
      <c r="Y178" s="3">
        <v>0</v>
      </c>
      <c r="Z178" s="4"/>
      <c r="AA178" s="4"/>
    </row>
    <row r="179" spans="1:27" ht="16" x14ac:dyDescent="0.2">
      <c r="A179" s="3" t="s">
        <v>43</v>
      </c>
      <c r="B179" s="3" t="s">
        <v>50</v>
      </c>
      <c r="C179" s="3">
        <v>21</v>
      </c>
      <c r="D179" s="3" t="s">
        <v>44</v>
      </c>
      <c r="E179" s="3">
        <v>0.22</v>
      </c>
      <c r="F179" s="3">
        <v>1.32</v>
      </c>
      <c r="G179" s="3">
        <f t="shared" si="4"/>
        <v>9.1010831999999997</v>
      </c>
      <c r="H179" s="3">
        <v>37.088000000000001</v>
      </c>
      <c r="I179" s="3">
        <v>0</v>
      </c>
      <c r="J179" s="3">
        <v>0</v>
      </c>
      <c r="K179" s="3">
        <v>0.12</v>
      </c>
      <c r="L179" s="3">
        <v>0</v>
      </c>
      <c r="M179" s="3">
        <v>0.17</v>
      </c>
      <c r="N179" s="3">
        <v>0</v>
      </c>
      <c r="O179" s="3">
        <v>0.255</v>
      </c>
      <c r="P179" s="3">
        <v>0</v>
      </c>
      <c r="Q179" s="3">
        <v>0</v>
      </c>
      <c r="R179" s="3"/>
      <c r="S179" s="3">
        <v>11.132999999999999</v>
      </c>
      <c r="T179" s="2"/>
      <c r="U179" s="2"/>
      <c r="V179" s="3"/>
      <c r="W179" s="2"/>
      <c r="X179" s="2"/>
      <c r="Y179" s="3">
        <v>7.8920000000000003</v>
      </c>
      <c r="Z179" s="4"/>
      <c r="AA179" s="4"/>
    </row>
    <row r="180" spans="1:27" ht="16" x14ac:dyDescent="0.2">
      <c r="A180" s="3" t="s">
        <v>43</v>
      </c>
      <c r="B180" s="3" t="s">
        <v>50</v>
      </c>
      <c r="C180" s="3">
        <v>45</v>
      </c>
      <c r="D180" s="3" t="s">
        <v>44</v>
      </c>
      <c r="E180" s="3">
        <v>0.89</v>
      </c>
      <c r="F180" s="3">
        <v>2.14</v>
      </c>
      <c r="G180" s="3">
        <f t="shared" si="4"/>
        <v>14.7547864</v>
      </c>
      <c r="H180" s="3">
        <v>25.390999999999998</v>
      </c>
      <c r="I180" s="3">
        <v>0</v>
      </c>
      <c r="J180" s="3">
        <v>0.98</v>
      </c>
      <c r="K180" s="3">
        <v>1.55</v>
      </c>
      <c r="L180" s="3">
        <v>2.8279999999999998</v>
      </c>
      <c r="M180" s="3">
        <v>0.39200000000000002</v>
      </c>
      <c r="N180" s="3">
        <v>0</v>
      </c>
      <c r="O180" s="3">
        <v>6.2469999999999999</v>
      </c>
      <c r="P180" s="3">
        <v>1.522</v>
      </c>
      <c r="Q180" s="3">
        <v>2.036</v>
      </c>
      <c r="R180" s="3"/>
      <c r="S180" s="3">
        <v>36.948</v>
      </c>
      <c r="T180" s="2"/>
      <c r="U180" s="2"/>
      <c r="V180" s="3"/>
      <c r="W180" s="2"/>
      <c r="X180" s="2"/>
      <c r="Y180" s="3">
        <v>33.707000000000001</v>
      </c>
      <c r="Z180" s="4"/>
      <c r="AA180" s="4"/>
    </row>
    <row r="181" spans="1:27" ht="16" x14ac:dyDescent="0.2">
      <c r="A181" s="3" t="s">
        <v>43</v>
      </c>
      <c r="B181" s="3" t="s">
        <v>50</v>
      </c>
      <c r="C181" s="3">
        <v>69</v>
      </c>
      <c r="D181" s="3" t="s">
        <v>44</v>
      </c>
      <c r="E181" s="3">
        <v>0.98</v>
      </c>
      <c r="F181" s="3">
        <v>2.52</v>
      </c>
      <c r="G181" s="3">
        <f t="shared" si="4"/>
        <v>17.374795200000001</v>
      </c>
      <c r="H181" s="3">
        <v>19.739999999999998</v>
      </c>
      <c r="I181" s="3">
        <v>0</v>
      </c>
      <c r="J181" s="3">
        <v>1.4750000000000001</v>
      </c>
      <c r="K181" s="3">
        <v>1.2190000000000001</v>
      </c>
      <c r="L181" s="3">
        <v>3.9950000000000001</v>
      </c>
      <c r="M181" s="3">
        <v>0.33400000000000002</v>
      </c>
      <c r="N181" s="3">
        <v>0</v>
      </c>
      <c r="O181" s="3">
        <v>8.4369999999999994</v>
      </c>
      <c r="P181" s="3">
        <v>3.2090000000000001</v>
      </c>
      <c r="Q181" s="3">
        <v>8.4459999999999997</v>
      </c>
      <c r="R181" s="3"/>
      <c r="S181" s="3">
        <v>48.414000000000001</v>
      </c>
      <c r="T181" s="2"/>
      <c r="U181" s="2"/>
      <c r="V181" s="3"/>
      <c r="W181" s="2"/>
      <c r="X181" s="2"/>
      <c r="Y181" s="3">
        <v>45.173000000000002</v>
      </c>
      <c r="Z181" s="4"/>
      <c r="AA181" s="4"/>
    </row>
    <row r="182" spans="1:27" ht="16" x14ac:dyDescent="0.2">
      <c r="A182" s="3" t="s">
        <v>43</v>
      </c>
      <c r="B182" s="3" t="s">
        <v>50</v>
      </c>
      <c r="C182" s="3">
        <v>92</v>
      </c>
      <c r="D182" s="3" t="s">
        <v>44</v>
      </c>
      <c r="E182" s="3">
        <v>0.88</v>
      </c>
      <c r="F182" s="3">
        <v>2.02</v>
      </c>
      <c r="G182" s="3">
        <f t="shared" si="4"/>
        <v>13.9274152</v>
      </c>
      <c r="H182" s="3">
        <v>16.814</v>
      </c>
      <c r="I182" s="3">
        <v>0</v>
      </c>
      <c r="J182" s="3">
        <v>1.5269999999999999</v>
      </c>
      <c r="K182" s="3">
        <v>1.2130000000000001</v>
      </c>
      <c r="L182" s="3">
        <v>4.2389999999999999</v>
      </c>
      <c r="M182" s="3">
        <v>0.252</v>
      </c>
      <c r="N182" s="3">
        <v>0</v>
      </c>
      <c r="O182" s="3">
        <v>7.9550000000000001</v>
      </c>
      <c r="P182" s="3">
        <v>3.5179999999999998</v>
      </c>
      <c r="Q182" s="3">
        <v>10.323</v>
      </c>
      <c r="R182" s="3"/>
      <c r="S182" s="3">
        <v>53.921999999999997</v>
      </c>
      <c r="T182" s="2"/>
      <c r="U182" s="2"/>
      <c r="V182" s="3"/>
      <c r="W182" s="2"/>
      <c r="X182" s="2"/>
      <c r="Y182" s="3">
        <v>50.680999999999997</v>
      </c>
      <c r="Z182" s="4"/>
      <c r="AA182" s="4"/>
    </row>
    <row r="183" spans="1:27" ht="16" x14ac:dyDescent="0.2">
      <c r="A183" s="3" t="s">
        <v>43</v>
      </c>
      <c r="B183" s="3" t="s">
        <v>50</v>
      </c>
      <c r="C183" s="3">
        <v>117</v>
      </c>
      <c r="D183" s="3" t="s">
        <v>44</v>
      </c>
      <c r="E183" s="3">
        <v>0.81</v>
      </c>
      <c r="F183" s="3">
        <v>1.46</v>
      </c>
      <c r="G183" s="3">
        <f t="shared" si="4"/>
        <v>10.066349599999999</v>
      </c>
      <c r="H183" s="3">
        <v>18.334</v>
      </c>
      <c r="I183" s="3">
        <v>0</v>
      </c>
      <c r="J183" s="3">
        <v>1.661</v>
      </c>
      <c r="K183" s="3">
        <v>1.427</v>
      </c>
      <c r="L183" s="3">
        <v>4.4470000000000001</v>
      </c>
      <c r="M183" s="3">
        <v>0.27600000000000002</v>
      </c>
      <c r="N183" s="3">
        <v>0</v>
      </c>
      <c r="O183" s="3">
        <v>8.5869999999999997</v>
      </c>
      <c r="P183" s="3">
        <v>3.8940000000000001</v>
      </c>
      <c r="Q183" s="3">
        <v>11.670999999999999</v>
      </c>
      <c r="R183" s="3"/>
      <c r="S183" s="3">
        <v>53.470999999999997</v>
      </c>
      <c r="T183" s="3">
        <v>2.1</v>
      </c>
      <c r="U183" s="3">
        <v>7.3849999999999998</v>
      </c>
      <c r="V183" s="3"/>
      <c r="W183" s="2"/>
      <c r="X183" s="2"/>
      <c r="Y183" s="3">
        <v>50.23</v>
      </c>
      <c r="Z183" s="4"/>
      <c r="AA183" s="4"/>
    </row>
    <row r="184" spans="1:27" ht="16" x14ac:dyDescent="0.2">
      <c r="A184" s="3" t="s">
        <v>43</v>
      </c>
      <c r="B184" s="3" t="s">
        <v>50</v>
      </c>
      <c r="C184" s="3">
        <v>142</v>
      </c>
      <c r="D184" s="3" t="s">
        <v>44</v>
      </c>
      <c r="E184" s="3">
        <v>0.79</v>
      </c>
      <c r="F184" s="3">
        <v>1.04</v>
      </c>
      <c r="G184" s="3">
        <f t="shared" si="4"/>
        <v>7.1705503999999998</v>
      </c>
      <c r="H184" s="3">
        <v>18.623000000000001</v>
      </c>
      <c r="I184" s="3">
        <v>0</v>
      </c>
      <c r="J184" s="3">
        <v>2.29</v>
      </c>
      <c r="K184" s="3">
        <v>1.927</v>
      </c>
      <c r="L184" s="3">
        <v>4.6959999999999997</v>
      </c>
      <c r="M184" s="3">
        <v>8.8999999999999996E-2</v>
      </c>
      <c r="N184" s="3">
        <v>0</v>
      </c>
      <c r="O184" s="3">
        <v>8.9689999999999994</v>
      </c>
      <c r="P184" s="3">
        <v>3.97</v>
      </c>
      <c r="Q184" s="3">
        <v>10.94</v>
      </c>
      <c r="R184" s="3"/>
      <c r="S184" s="3">
        <v>55.927999999999997</v>
      </c>
      <c r="T184" s="2"/>
      <c r="U184" s="2"/>
      <c r="V184" s="3"/>
      <c r="W184" s="2"/>
      <c r="X184" s="2"/>
      <c r="Y184" s="3">
        <v>52.686999999999998</v>
      </c>
      <c r="Z184" s="4"/>
      <c r="AA184" s="4"/>
    </row>
    <row r="185" spans="1:27" ht="16" x14ac:dyDescent="0.2">
      <c r="A185" s="3" t="s">
        <v>43</v>
      </c>
      <c r="B185" s="3" t="s">
        <v>50</v>
      </c>
      <c r="C185" s="3">
        <v>168</v>
      </c>
      <c r="D185" s="3" t="s">
        <v>44</v>
      </c>
      <c r="E185" s="3">
        <v>0.81</v>
      </c>
      <c r="F185" s="3">
        <v>0.88</v>
      </c>
      <c r="G185" s="3">
        <f t="shared" si="4"/>
        <v>6.0673887999999998</v>
      </c>
      <c r="H185" s="3">
        <v>18.925999999999998</v>
      </c>
      <c r="I185" s="3">
        <v>0</v>
      </c>
      <c r="J185" s="3">
        <v>2.3610000000000002</v>
      </c>
      <c r="K185" s="3">
        <v>2.0339999999999998</v>
      </c>
      <c r="L185" s="3">
        <v>4.7640000000000002</v>
      </c>
      <c r="M185" s="3">
        <v>0.1</v>
      </c>
      <c r="N185" s="3">
        <v>0</v>
      </c>
      <c r="O185" s="3">
        <v>8.9969999999999999</v>
      </c>
      <c r="P185" s="3">
        <v>3.9550000000000001</v>
      </c>
      <c r="Q185" s="3">
        <v>10.967000000000001</v>
      </c>
      <c r="R185" s="3"/>
      <c r="S185" s="3">
        <v>55.173999999999999</v>
      </c>
      <c r="T185" s="2"/>
      <c r="U185" s="2"/>
      <c r="V185" s="3"/>
      <c r="W185" s="2"/>
      <c r="X185" s="2"/>
      <c r="Y185" s="3">
        <v>51.933</v>
      </c>
      <c r="Z185" s="4"/>
      <c r="AA185" s="4"/>
    </row>
    <row r="186" spans="1:27" ht="16" x14ac:dyDescent="0.2">
      <c r="A186" s="3" t="s">
        <v>43</v>
      </c>
      <c r="B186" s="3" t="s">
        <v>50</v>
      </c>
      <c r="C186" s="3">
        <v>190</v>
      </c>
      <c r="D186" s="3" t="s">
        <v>44</v>
      </c>
      <c r="E186" s="3">
        <v>0.76</v>
      </c>
      <c r="F186" s="3">
        <v>0.9</v>
      </c>
      <c r="G186" s="3">
        <f t="shared" si="4"/>
        <v>6.2052839999999998</v>
      </c>
      <c r="H186" s="3">
        <v>16.41</v>
      </c>
      <c r="I186" s="3">
        <v>0</v>
      </c>
      <c r="J186" s="3">
        <v>2.141</v>
      </c>
      <c r="K186" s="3">
        <v>1.8</v>
      </c>
      <c r="L186" s="3">
        <v>4.3209999999999997</v>
      </c>
      <c r="M186" s="3">
        <v>5.8999999999999997E-2</v>
      </c>
      <c r="N186" s="3">
        <v>0</v>
      </c>
      <c r="O186" s="3">
        <v>8.0449999999999999</v>
      </c>
      <c r="P186" s="3">
        <v>3.5859999999999999</v>
      </c>
      <c r="Q186" s="3">
        <v>10.048</v>
      </c>
      <c r="R186" s="3"/>
      <c r="S186" s="3">
        <v>57.066000000000003</v>
      </c>
      <c r="T186" s="3">
        <v>2.6560000000000001</v>
      </c>
      <c r="U186" s="3">
        <v>10.35</v>
      </c>
      <c r="V186" s="3"/>
      <c r="W186" s="2"/>
      <c r="X186" s="2"/>
      <c r="Y186" s="3">
        <v>53.825000000000003</v>
      </c>
      <c r="Z186" s="4"/>
      <c r="AA186" s="4"/>
    </row>
    <row r="187" spans="1:27" ht="16" x14ac:dyDescent="0.2">
      <c r="A187" s="3" t="s">
        <v>43</v>
      </c>
      <c r="B187" s="3" t="s">
        <v>50</v>
      </c>
      <c r="C187" s="3">
        <v>240</v>
      </c>
      <c r="D187" s="3" t="s">
        <v>44</v>
      </c>
      <c r="E187" s="3">
        <v>0.53</v>
      </c>
      <c r="F187" s="2"/>
      <c r="G187" s="3"/>
      <c r="H187" s="3">
        <v>16.937000000000001</v>
      </c>
      <c r="I187" s="3">
        <v>0</v>
      </c>
      <c r="J187" s="3">
        <v>2.2879999999999998</v>
      </c>
      <c r="K187" s="3">
        <v>1.8160000000000001</v>
      </c>
      <c r="L187" s="3">
        <v>4.5289999999999999</v>
      </c>
      <c r="M187" s="3">
        <v>0.09</v>
      </c>
      <c r="N187" s="3">
        <v>0</v>
      </c>
      <c r="O187" s="3">
        <v>8.4239999999999995</v>
      </c>
      <c r="P187" s="3">
        <v>3.782</v>
      </c>
      <c r="Q187" s="3">
        <v>10.936</v>
      </c>
      <c r="R187" s="3"/>
      <c r="S187" s="5"/>
      <c r="T187" s="2"/>
      <c r="U187" s="2"/>
      <c r="V187" s="3"/>
      <c r="W187" s="3">
        <v>6.78</v>
      </c>
      <c r="X187" s="3"/>
      <c r="Y187" s="3"/>
      <c r="Z187" s="4"/>
      <c r="AA187" s="4"/>
    </row>
    <row r="188" spans="1:27" ht="16" x14ac:dyDescent="0.2">
      <c r="A188" s="3" t="s">
        <v>43</v>
      </c>
      <c r="B188" s="3" t="s">
        <v>50</v>
      </c>
      <c r="C188" s="3">
        <v>0</v>
      </c>
      <c r="D188" s="3" t="s">
        <v>45</v>
      </c>
      <c r="E188" s="3">
        <v>0.01</v>
      </c>
      <c r="F188" s="3">
        <v>0.54</v>
      </c>
      <c r="G188" s="3">
        <f t="shared" si="4"/>
        <v>3.7231704000000003</v>
      </c>
      <c r="H188" s="3">
        <v>34.063000000000002</v>
      </c>
      <c r="I188" s="3">
        <v>4.2999999999999997E-2</v>
      </c>
      <c r="J188" s="3">
        <v>0</v>
      </c>
      <c r="K188" s="3">
        <v>0</v>
      </c>
      <c r="L188" s="3">
        <v>0</v>
      </c>
      <c r="M188" s="3">
        <v>0.51900000000000002</v>
      </c>
      <c r="N188" s="3">
        <v>0</v>
      </c>
      <c r="O188" s="3">
        <v>0</v>
      </c>
      <c r="P188" s="3">
        <v>0.40500000000000003</v>
      </c>
      <c r="Q188" s="3">
        <v>0</v>
      </c>
      <c r="R188" s="3"/>
      <c r="S188" s="3">
        <v>3.31</v>
      </c>
      <c r="T188" s="3">
        <v>0</v>
      </c>
      <c r="U188" s="3">
        <v>0</v>
      </c>
      <c r="V188" s="3"/>
      <c r="W188" s="3">
        <v>6.34</v>
      </c>
      <c r="X188" s="3"/>
      <c r="Y188" s="3">
        <v>0</v>
      </c>
      <c r="Z188" s="4"/>
      <c r="AA188" s="4"/>
    </row>
    <row r="189" spans="1:27" ht="16" x14ac:dyDescent="0.2">
      <c r="A189" s="3" t="s">
        <v>43</v>
      </c>
      <c r="B189" s="3" t="s">
        <v>50</v>
      </c>
      <c r="C189" s="3">
        <v>21</v>
      </c>
      <c r="D189" s="3" t="s">
        <v>45</v>
      </c>
      <c r="E189" s="3">
        <v>0.20300000000000001</v>
      </c>
      <c r="F189" s="3">
        <v>1.26</v>
      </c>
      <c r="G189" s="3">
        <f t="shared" si="4"/>
        <v>8.6873976000000006</v>
      </c>
      <c r="H189" s="3">
        <v>33.982999999999997</v>
      </c>
      <c r="I189" s="3">
        <v>0</v>
      </c>
      <c r="J189" s="3">
        <v>0</v>
      </c>
      <c r="K189" s="3">
        <v>4.9000000000000002E-2</v>
      </c>
      <c r="L189" s="3">
        <v>0</v>
      </c>
      <c r="M189" s="3">
        <v>0.108</v>
      </c>
      <c r="N189" s="3">
        <v>0</v>
      </c>
      <c r="O189" s="3">
        <v>0.24299999999999999</v>
      </c>
      <c r="P189" s="3">
        <v>0</v>
      </c>
      <c r="Q189" s="3">
        <v>0</v>
      </c>
      <c r="R189" s="3"/>
      <c r="S189" s="3">
        <v>10.013</v>
      </c>
      <c r="T189" s="2"/>
      <c r="U189" s="2"/>
      <c r="V189" s="3"/>
      <c r="W189" s="2"/>
      <c r="X189" s="2"/>
      <c r="Y189" s="3">
        <v>6.7030000000000003</v>
      </c>
      <c r="Z189" s="4"/>
      <c r="AA189" s="4"/>
    </row>
    <row r="190" spans="1:27" ht="16" x14ac:dyDescent="0.2">
      <c r="A190" s="3" t="s">
        <v>43</v>
      </c>
      <c r="B190" s="3" t="s">
        <v>50</v>
      </c>
      <c r="C190" s="3">
        <v>45</v>
      </c>
      <c r="D190" s="3" t="s">
        <v>45</v>
      </c>
      <c r="E190" s="3">
        <v>0.86</v>
      </c>
      <c r="F190" s="3">
        <v>2.1</v>
      </c>
      <c r="G190" s="3">
        <f t="shared" si="4"/>
        <v>14.478996</v>
      </c>
      <c r="H190" s="3">
        <v>24.257999999999999</v>
      </c>
      <c r="I190" s="3">
        <v>0</v>
      </c>
      <c r="J190" s="3">
        <v>0.92100000000000004</v>
      </c>
      <c r="K190" s="3">
        <v>1.514</v>
      </c>
      <c r="L190" s="3">
        <v>2.927</v>
      </c>
      <c r="M190" s="3">
        <v>0.39400000000000002</v>
      </c>
      <c r="N190" s="3">
        <v>0</v>
      </c>
      <c r="O190" s="3">
        <v>6.407</v>
      </c>
      <c r="P190" s="3">
        <v>1.597</v>
      </c>
      <c r="Q190" s="3">
        <v>2.246</v>
      </c>
      <c r="R190" s="3"/>
      <c r="S190" s="3">
        <v>35.697000000000003</v>
      </c>
      <c r="T190" s="2"/>
      <c r="U190" s="2"/>
      <c r="V190" s="3"/>
      <c r="W190" s="2"/>
      <c r="X190" s="2"/>
      <c r="Y190" s="3">
        <v>32.387</v>
      </c>
      <c r="Z190" s="4"/>
      <c r="AA190" s="4"/>
    </row>
    <row r="191" spans="1:27" ht="16" x14ac:dyDescent="0.2">
      <c r="A191" s="3" t="s">
        <v>43</v>
      </c>
      <c r="B191" s="3" t="s">
        <v>50</v>
      </c>
      <c r="C191" s="3">
        <v>69</v>
      </c>
      <c r="D191" s="3" t="s">
        <v>45</v>
      </c>
      <c r="E191" s="3">
        <v>1</v>
      </c>
      <c r="F191" s="3">
        <v>2.38</v>
      </c>
      <c r="G191" s="3">
        <f t="shared" si="4"/>
        <v>16.4095288</v>
      </c>
      <c r="H191" s="3">
        <v>19.524000000000001</v>
      </c>
      <c r="I191" s="3">
        <v>0</v>
      </c>
      <c r="J191" s="3">
        <v>1.524</v>
      </c>
      <c r="K191" s="3">
        <v>1.222</v>
      </c>
      <c r="L191" s="3">
        <v>4.0119999999999996</v>
      </c>
      <c r="M191" s="3">
        <v>0.30599999999999999</v>
      </c>
      <c r="N191" s="3">
        <v>0</v>
      </c>
      <c r="O191" s="3">
        <v>8.298</v>
      </c>
      <c r="P191" s="3">
        <v>3.173</v>
      </c>
      <c r="Q191" s="3">
        <v>8.4390000000000001</v>
      </c>
      <c r="R191" s="3"/>
      <c r="S191" s="3">
        <v>50.567</v>
      </c>
      <c r="T191" s="2"/>
      <c r="U191" s="2"/>
      <c r="V191" s="3"/>
      <c r="W191" s="2"/>
      <c r="X191" s="2"/>
      <c r="Y191" s="3">
        <v>47.256999999999998</v>
      </c>
      <c r="Z191" s="4"/>
      <c r="AA191" s="4"/>
    </row>
    <row r="192" spans="1:27" ht="16" x14ac:dyDescent="0.2">
      <c r="A192" s="3" t="s">
        <v>43</v>
      </c>
      <c r="B192" s="3" t="s">
        <v>50</v>
      </c>
      <c r="C192" s="3">
        <v>92</v>
      </c>
      <c r="D192" s="3" t="s">
        <v>45</v>
      </c>
      <c r="E192" s="3">
        <v>0.88</v>
      </c>
      <c r="F192" s="3">
        <v>1.92</v>
      </c>
      <c r="G192" s="3">
        <f t="shared" si="4"/>
        <v>13.2379392</v>
      </c>
      <c r="H192" s="3">
        <v>16.852</v>
      </c>
      <c r="I192" s="3">
        <v>0</v>
      </c>
      <c r="J192" s="3">
        <v>1.51</v>
      </c>
      <c r="K192" s="3">
        <v>1.1859999999999999</v>
      </c>
      <c r="L192" s="3">
        <v>4.2329999999999997</v>
      </c>
      <c r="M192" s="3">
        <v>0.25700000000000001</v>
      </c>
      <c r="N192" s="3">
        <v>1.6E-2</v>
      </c>
      <c r="O192" s="3">
        <v>8.0239999999999991</v>
      </c>
      <c r="P192" s="3">
        <v>3.718</v>
      </c>
      <c r="Q192" s="3">
        <v>10.994999999999999</v>
      </c>
      <c r="R192" s="3"/>
      <c r="S192" s="3">
        <v>52.139000000000003</v>
      </c>
      <c r="T192" s="2"/>
      <c r="U192" s="2"/>
      <c r="V192" s="3"/>
      <c r="W192" s="2"/>
      <c r="X192" s="2"/>
      <c r="Y192" s="3">
        <v>48.829000000000001</v>
      </c>
      <c r="Z192" s="4"/>
      <c r="AA192" s="4"/>
    </row>
    <row r="193" spans="1:27" ht="16" x14ac:dyDescent="0.2">
      <c r="A193" s="3" t="s">
        <v>43</v>
      </c>
      <c r="B193" s="3" t="s">
        <v>50</v>
      </c>
      <c r="C193" s="3">
        <v>117</v>
      </c>
      <c r="D193" s="3" t="s">
        <v>45</v>
      </c>
      <c r="E193" s="3">
        <v>0.83</v>
      </c>
      <c r="F193" s="3">
        <v>1.38</v>
      </c>
      <c r="G193" s="3">
        <f t="shared" si="4"/>
        <v>9.5147687999999988</v>
      </c>
      <c r="H193" s="3">
        <v>18.064</v>
      </c>
      <c r="I193" s="3">
        <v>0</v>
      </c>
      <c r="J193" s="3">
        <v>1.595</v>
      </c>
      <c r="K193" s="3">
        <v>1.3919999999999999</v>
      </c>
      <c r="L193" s="3">
        <v>4.4109999999999996</v>
      </c>
      <c r="M193" s="3">
        <v>0.28499999999999998</v>
      </c>
      <c r="N193" s="3">
        <v>0</v>
      </c>
      <c r="O193" s="3">
        <v>8.3759999999999994</v>
      </c>
      <c r="P193" s="3">
        <v>3.7450000000000001</v>
      </c>
      <c r="Q193" s="3">
        <v>11.446999999999999</v>
      </c>
      <c r="R193" s="3"/>
      <c r="S193" s="3">
        <v>53.731000000000002</v>
      </c>
      <c r="T193" s="3">
        <v>2.2810000000000001</v>
      </c>
      <c r="U193" s="3">
        <v>9.1039999999999992</v>
      </c>
      <c r="V193" s="3"/>
      <c r="W193" s="2"/>
      <c r="X193" s="2"/>
      <c r="Y193" s="3">
        <v>50.420999999999999</v>
      </c>
      <c r="Z193" s="4"/>
      <c r="AA193" s="4"/>
    </row>
    <row r="194" spans="1:27" ht="16" x14ac:dyDescent="0.2">
      <c r="A194" s="3" t="s">
        <v>43</v>
      </c>
      <c r="B194" s="3" t="s">
        <v>50</v>
      </c>
      <c r="C194" s="3">
        <v>142</v>
      </c>
      <c r="D194" s="3" t="s">
        <v>45</v>
      </c>
      <c r="E194" s="3">
        <v>0.81</v>
      </c>
      <c r="F194" s="3">
        <v>0.94</v>
      </c>
      <c r="G194" s="3">
        <f t="shared" si="4"/>
        <v>6.4810743999999998</v>
      </c>
      <c r="H194" s="3">
        <v>20.847000000000001</v>
      </c>
      <c r="I194" s="3">
        <v>0</v>
      </c>
      <c r="J194" s="3">
        <v>2.5419999999999998</v>
      </c>
      <c r="K194" s="3">
        <v>2.1419999999999999</v>
      </c>
      <c r="L194" s="3">
        <v>5.149</v>
      </c>
      <c r="M194" s="3">
        <v>0.13400000000000001</v>
      </c>
      <c r="N194" s="3">
        <v>0</v>
      </c>
      <c r="O194" s="3">
        <v>9.6210000000000004</v>
      </c>
      <c r="P194" s="3">
        <v>4.2889999999999997</v>
      </c>
      <c r="Q194" s="3">
        <v>11.55</v>
      </c>
      <c r="R194" s="3"/>
      <c r="S194" s="3">
        <v>55.024999999999999</v>
      </c>
      <c r="T194" s="2"/>
      <c r="U194" s="2"/>
      <c r="V194" s="3"/>
      <c r="W194" s="2"/>
      <c r="X194" s="2"/>
      <c r="Y194" s="3">
        <v>51.715000000000003</v>
      </c>
      <c r="Z194" s="4"/>
      <c r="AA194" s="4"/>
    </row>
    <row r="195" spans="1:27" ht="16" x14ac:dyDescent="0.2">
      <c r="A195" s="3" t="s">
        <v>43</v>
      </c>
      <c r="B195" s="3" t="s">
        <v>50</v>
      </c>
      <c r="C195" s="3">
        <v>168</v>
      </c>
      <c r="D195" s="3" t="s">
        <v>45</v>
      </c>
      <c r="E195" s="3">
        <v>0.8</v>
      </c>
      <c r="F195" s="3">
        <v>0.88</v>
      </c>
      <c r="G195" s="3">
        <f t="shared" ref="G195:G206" si="5">F195*6.89476</f>
        <v>6.0673887999999998</v>
      </c>
      <c r="H195" s="3">
        <v>16.614999999999998</v>
      </c>
      <c r="I195" s="3">
        <v>0</v>
      </c>
      <c r="J195" s="3">
        <v>2.17</v>
      </c>
      <c r="K195" s="3">
        <v>1.802</v>
      </c>
      <c r="L195" s="3">
        <v>4.3760000000000003</v>
      </c>
      <c r="M195" s="3">
        <v>5.8000000000000003E-2</v>
      </c>
      <c r="N195" s="3">
        <v>0</v>
      </c>
      <c r="O195" s="3">
        <v>8.1549999999999994</v>
      </c>
      <c r="P195" s="3">
        <v>3.677</v>
      </c>
      <c r="Q195" s="3">
        <v>10.33</v>
      </c>
      <c r="R195" s="3"/>
      <c r="S195" s="3">
        <v>58.491</v>
      </c>
      <c r="T195" s="2"/>
      <c r="U195" s="2"/>
      <c r="V195" s="3"/>
      <c r="W195" s="2"/>
      <c r="X195" s="2"/>
      <c r="Y195" s="3">
        <v>55.180999999999997</v>
      </c>
      <c r="Z195" s="4"/>
      <c r="AA195" s="4"/>
    </row>
    <row r="196" spans="1:27" ht="16" x14ac:dyDescent="0.2">
      <c r="A196" s="3" t="s">
        <v>43</v>
      </c>
      <c r="B196" s="3" t="s">
        <v>50</v>
      </c>
      <c r="C196" s="3">
        <v>190</v>
      </c>
      <c r="D196" s="3" t="s">
        <v>45</v>
      </c>
      <c r="E196" s="3">
        <v>0.74</v>
      </c>
      <c r="F196" s="3">
        <v>0.8</v>
      </c>
      <c r="G196" s="3">
        <f t="shared" si="5"/>
        <v>5.5158079999999998</v>
      </c>
      <c r="H196" s="3">
        <v>18.568999999999999</v>
      </c>
      <c r="I196" s="3">
        <v>0</v>
      </c>
      <c r="J196" s="3">
        <v>2.3879999999999999</v>
      </c>
      <c r="K196" s="3">
        <v>2.004</v>
      </c>
      <c r="L196" s="3">
        <v>4.8280000000000003</v>
      </c>
      <c r="M196" s="3">
        <v>0.111</v>
      </c>
      <c r="N196" s="3">
        <v>0</v>
      </c>
      <c r="O196" s="3">
        <v>8.8800000000000008</v>
      </c>
      <c r="P196" s="3">
        <v>3.903</v>
      </c>
      <c r="Q196" s="3">
        <v>11.03</v>
      </c>
      <c r="R196" s="3"/>
      <c r="S196" s="2"/>
      <c r="T196" s="3">
        <v>2.64</v>
      </c>
      <c r="U196" s="3">
        <v>10.029999999999999</v>
      </c>
      <c r="V196" s="3"/>
      <c r="W196" s="2"/>
      <c r="X196" s="2"/>
      <c r="Y196" s="2"/>
      <c r="Z196" s="4"/>
      <c r="AA196" s="4"/>
    </row>
    <row r="197" spans="1:27" ht="16" x14ac:dyDescent="0.2">
      <c r="A197" s="3" t="s">
        <v>43</v>
      </c>
      <c r="B197" s="3" t="s">
        <v>50</v>
      </c>
      <c r="C197" s="3">
        <v>240</v>
      </c>
      <c r="D197" s="3" t="s">
        <v>45</v>
      </c>
      <c r="E197" s="3">
        <v>0.56000000000000005</v>
      </c>
      <c r="F197" s="2"/>
      <c r="G197" s="3"/>
      <c r="H197" s="3">
        <v>16.893000000000001</v>
      </c>
      <c r="I197" s="3">
        <v>0</v>
      </c>
      <c r="J197" s="3">
        <v>2.2269999999999999</v>
      </c>
      <c r="K197" s="3">
        <v>1.845</v>
      </c>
      <c r="L197" s="3">
        <v>4.4539999999999997</v>
      </c>
      <c r="M197" s="3">
        <v>7.6999999999999999E-2</v>
      </c>
      <c r="N197" s="3">
        <v>0</v>
      </c>
      <c r="O197" s="3">
        <v>8.1240000000000006</v>
      </c>
      <c r="P197" s="3">
        <v>3.758</v>
      </c>
      <c r="Q197" s="3">
        <v>10.637</v>
      </c>
      <c r="R197" s="3"/>
      <c r="S197" s="2"/>
      <c r="T197" s="3"/>
      <c r="U197" s="3"/>
      <c r="V197" s="3"/>
      <c r="W197" s="3">
        <v>6.82</v>
      </c>
      <c r="X197" s="3"/>
      <c r="Y197" s="3"/>
      <c r="Z197" s="4"/>
      <c r="AA197" s="4"/>
    </row>
    <row r="198" spans="1:27" ht="16" x14ac:dyDescent="0.2">
      <c r="A198" s="3" t="s">
        <v>43</v>
      </c>
      <c r="B198" s="3" t="s">
        <v>50</v>
      </c>
      <c r="C198" s="3">
        <v>0</v>
      </c>
      <c r="D198" s="3" t="s">
        <v>46</v>
      </c>
      <c r="E198" s="3">
        <v>8.9999999999999993E-3</v>
      </c>
      <c r="F198" s="3">
        <v>0.54</v>
      </c>
      <c r="G198" s="3">
        <f t="shared" si="5"/>
        <v>3.7231704000000003</v>
      </c>
      <c r="H198" s="3">
        <v>39.875999999999998</v>
      </c>
      <c r="I198" s="3">
        <v>0</v>
      </c>
      <c r="J198" s="3">
        <v>0</v>
      </c>
      <c r="K198" s="3">
        <v>0</v>
      </c>
      <c r="L198" s="3">
        <v>0</v>
      </c>
      <c r="M198" s="3">
        <v>0.16400000000000001</v>
      </c>
      <c r="N198" s="3">
        <v>0</v>
      </c>
      <c r="O198" s="3">
        <v>0</v>
      </c>
      <c r="P198" s="3">
        <v>6.6000000000000003E-2</v>
      </c>
      <c r="Q198" s="3">
        <v>0</v>
      </c>
      <c r="R198" s="3"/>
      <c r="S198" s="3">
        <v>3.411</v>
      </c>
      <c r="T198" s="3">
        <v>0</v>
      </c>
      <c r="U198" s="3">
        <v>0</v>
      </c>
      <c r="V198" s="3"/>
      <c r="W198" s="3">
        <v>6.34</v>
      </c>
      <c r="X198" s="3"/>
      <c r="Y198" s="3">
        <v>0</v>
      </c>
      <c r="Z198" s="4"/>
      <c r="AA198" s="4"/>
    </row>
    <row r="199" spans="1:27" ht="16" x14ac:dyDescent="0.2">
      <c r="A199" s="3" t="s">
        <v>43</v>
      </c>
      <c r="B199" s="3" t="s">
        <v>50</v>
      </c>
      <c r="C199" s="3">
        <v>21</v>
      </c>
      <c r="D199" s="3" t="s">
        <v>46</v>
      </c>
      <c r="E199" s="3">
        <v>0.20599999999999999</v>
      </c>
      <c r="F199" s="3">
        <v>1.22</v>
      </c>
      <c r="G199" s="3">
        <f t="shared" si="5"/>
        <v>8.4116071999999988</v>
      </c>
      <c r="H199" s="3">
        <v>38.523000000000003</v>
      </c>
      <c r="I199" s="3">
        <v>0</v>
      </c>
      <c r="J199" s="3">
        <v>0</v>
      </c>
      <c r="K199" s="3">
        <v>0.14299999999999999</v>
      </c>
      <c r="L199" s="3">
        <v>0</v>
      </c>
      <c r="M199" s="3">
        <v>0.112</v>
      </c>
      <c r="N199" s="3">
        <v>0</v>
      </c>
      <c r="O199" s="3">
        <v>0.27100000000000002</v>
      </c>
      <c r="P199" s="3">
        <v>0</v>
      </c>
      <c r="Q199" s="3">
        <v>0</v>
      </c>
      <c r="R199" s="3"/>
      <c r="S199" s="3">
        <v>10.5</v>
      </c>
      <c r="T199" s="2"/>
      <c r="U199" s="2"/>
      <c r="V199" s="3"/>
      <c r="W199" s="2"/>
      <c r="X199" s="2"/>
      <c r="Y199" s="3">
        <v>7.0890000000000004</v>
      </c>
      <c r="Z199" s="4"/>
      <c r="AA199" s="4"/>
    </row>
    <row r="200" spans="1:27" ht="16" x14ac:dyDescent="0.2">
      <c r="A200" s="3" t="s">
        <v>43</v>
      </c>
      <c r="B200" s="3" t="s">
        <v>50</v>
      </c>
      <c r="C200" s="3">
        <v>45</v>
      </c>
      <c r="D200" s="3" t="s">
        <v>46</v>
      </c>
      <c r="E200" s="3">
        <v>0.89</v>
      </c>
      <c r="F200" s="3">
        <v>2.2400000000000002</v>
      </c>
      <c r="G200" s="3">
        <f t="shared" si="5"/>
        <v>15.444262400000001</v>
      </c>
      <c r="H200" s="3">
        <v>27.675999999999998</v>
      </c>
      <c r="I200" s="3">
        <v>0</v>
      </c>
      <c r="J200" s="3">
        <v>1.143</v>
      </c>
      <c r="K200" s="3">
        <v>1.8340000000000001</v>
      </c>
      <c r="L200" s="3">
        <v>3.3959999999999999</v>
      </c>
      <c r="M200" s="3">
        <v>0.42799999999999999</v>
      </c>
      <c r="N200" s="3">
        <v>0</v>
      </c>
      <c r="O200" s="3">
        <v>7.4980000000000002</v>
      </c>
      <c r="P200" s="3">
        <v>1.8120000000000001</v>
      </c>
      <c r="Q200" s="3">
        <v>2.7690000000000001</v>
      </c>
      <c r="R200" s="3"/>
      <c r="S200" s="3">
        <v>37.692999999999998</v>
      </c>
      <c r="T200" s="2"/>
      <c r="U200" s="2"/>
      <c r="V200" s="3"/>
      <c r="W200" s="2"/>
      <c r="X200" s="2"/>
      <c r="Y200" s="3">
        <v>34.281999999999996</v>
      </c>
      <c r="Z200" s="4"/>
      <c r="AA200" s="4"/>
    </row>
    <row r="201" spans="1:27" ht="16" x14ac:dyDescent="0.2">
      <c r="A201" s="3" t="s">
        <v>43</v>
      </c>
      <c r="B201" s="3" t="s">
        <v>50</v>
      </c>
      <c r="C201" s="3">
        <v>69</v>
      </c>
      <c r="D201" s="3" t="s">
        <v>46</v>
      </c>
      <c r="E201" s="3">
        <v>1.03</v>
      </c>
      <c r="F201" s="3">
        <v>2.46</v>
      </c>
      <c r="G201" s="3">
        <f t="shared" si="5"/>
        <v>16.9611096</v>
      </c>
      <c r="H201" s="3">
        <v>20.163</v>
      </c>
      <c r="I201" s="3">
        <v>0</v>
      </c>
      <c r="J201" s="3">
        <v>1.554</v>
      </c>
      <c r="K201" s="3">
        <v>1.234</v>
      </c>
      <c r="L201" s="3">
        <v>4.2759999999999998</v>
      </c>
      <c r="M201" s="3">
        <v>0.33</v>
      </c>
      <c r="N201" s="3">
        <v>0</v>
      </c>
      <c r="O201" s="3">
        <v>9.0210000000000008</v>
      </c>
      <c r="P201" s="3">
        <v>3.58</v>
      </c>
      <c r="Q201" s="3">
        <v>9.8030000000000008</v>
      </c>
      <c r="R201" s="3"/>
      <c r="S201" s="3">
        <v>50.212000000000003</v>
      </c>
      <c r="T201" s="2"/>
      <c r="U201" s="2"/>
      <c r="V201" s="3"/>
      <c r="W201" s="2"/>
      <c r="X201" s="2"/>
      <c r="Y201" s="3">
        <v>46.801000000000002</v>
      </c>
      <c r="Z201" s="4"/>
      <c r="AA201" s="4"/>
    </row>
    <row r="202" spans="1:27" ht="16" x14ac:dyDescent="0.2">
      <c r="A202" s="3" t="s">
        <v>43</v>
      </c>
      <c r="B202" s="3" t="s">
        <v>50</v>
      </c>
      <c r="C202" s="3">
        <v>92</v>
      </c>
      <c r="D202" s="3" t="s">
        <v>46</v>
      </c>
      <c r="E202" s="3">
        <v>0.9</v>
      </c>
      <c r="F202" s="3">
        <v>2</v>
      </c>
      <c r="G202" s="3">
        <f t="shared" si="5"/>
        <v>13.78952</v>
      </c>
      <c r="H202" s="3">
        <v>18.21</v>
      </c>
      <c r="I202" s="3">
        <v>0</v>
      </c>
      <c r="J202" s="3">
        <v>1.609</v>
      </c>
      <c r="K202" s="3">
        <v>1.3340000000000001</v>
      </c>
      <c r="L202" s="3">
        <v>4.423</v>
      </c>
      <c r="M202" s="3">
        <v>0.26200000000000001</v>
      </c>
      <c r="N202" s="3">
        <v>4.0000000000000001E-3</v>
      </c>
      <c r="O202" s="3">
        <v>8.6010000000000009</v>
      </c>
      <c r="P202" s="3">
        <v>3.847</v>
      </c>
      <c r="Q202" s="3">
        <v>11.879</v>
      </c>
      <c r="R202" s="3"/>
      <c r="S202" s="3">
        <v>53.1</v>
      </c>
      <c r="T202" s="2"/>
      <c r="U202" s="2"/>
      <c r="V202" s="3"/>
      <c r="W202" s="2"/>
      <c r="X202" s="2"/>
      <c r="Y202" s="3">
        <v>49.689</v>
      </c>
      <c r="Z202" s="4"/>
      <c r="AA202" s="4"/>
    </row>
    <row r="203" spans="1:27" ht="16" x14ac:dyDescent="0.2">
      <c r="A203" s="3" t="s">
        <v>43</v>
      </c>
      <c r="B203" s="3" t="s">
        <v>50</v>
      </c>
      <c r="C203" s="3">
        <v>117</v>
      </c>
      <c r="D203" s="3" t="s">
        <v>46</v>
      </c>
      <c r="E203" s="3">
        <v>0.84</v>
      </c>
      <c r="F203" s="3">
        <v>1.46</v>
      </c>
      <c r="G203" s="3">
        <f t="shared" si="5"/>
        <v>10.066349599999999</v>
      </c>
      <c r="H203" s="3">
        <v>17.314</v>
      </c>
      <c r="I203" s="3">
        <v>0</v>
      </c>
      <c r="J203" s="3">
        <v>1.6659999999999999</v>
      </c>
      <c r="K203" s="3">
        <v>1.419</v>
      </c>
      <c r="L203" s="3">
        <v>4.3010000000000002</v>
      </c>
      <c r="M203" s="3">
        <v>0.27700000000000002</v>
      </c>
      <c r="N203" s="3">
        <v>1.2999999999999999E-2</v>
      </c>
      <c r="O203" s="3">
        <v>8.3179999999999996</v>
      </c>
      <c r="P203" s="3">
        <v>3.8069999999999999</v>
      </c>
      <c r="Q203" s="3">
        <v>11.914999999999999</v>
      </c>
      <c r="R203" s="3"/>
      <c r="S203" s="3">
        <v>54.305</v>
      </c>
      <c r="T203" s="3">
        <v>2.2240000000000002</v>
      </c>
      <c r="U203" s="3">
        <v>7.3520000000000003</v>
      </c>
      <c r="V203" s="3"/>
      <c r="W203" s="2"/>
      <c r="X203" s="2"/>
      <c r="Y203" s="3">
        <v>50.893999999999998</v>
      </c>
      <c r="Z203" s="4"/>
      <c r="AA203" s="4"/>
    </row>
    <row r="204" spans="1:27" ht="16" x14ac:dyDescent="0.2">
      <c r="A204" s="3" t="s">
        <v>43</v>
      </c>
      <c r="B204" s="3" t="s">
        <v>50</v>
      </c>
      <c r="C204" s="3">
        <v>142</v>
      </c>
      <c r="D204" s="3" t="s">
        <v>46</v>
      </c>
      <c r="E204" s="3">
        <v>0.84</v>
      </c>
      <c r="F204" s="3">
        <v>0.86</v>
      </c>
      <c r="G204" s="3">
        <f t="shared" si="5"/>
        <v>5.9294935999999998</v>
      </c>
      <c r="H204" s="3">
        <v>18.434000000000001</v>
      </c>
      <c r="I204" s="3">
        <v>0</v>
      </c>
      <c r="J204" s="3">
        <v>2.383</v>
      </c>
      <c r="K204" s="3">
        <v>2.048</v>
      </c>
      <c r="L204" s="3">
        <v>4.7939999999999996</v>
      </c>
      <c r="M204" s="3">
        <v>8.8999999999999996E-2</v>
      </c>
      <c r="N204" s="3">
        <v>0</v>
      </c>
      <c r="O204" s="3">
        <v>9.173</v>
      </c>
      <c r="P204" s="3">
        <v>3.9510000000000001</v>
      </c>
      <c r="Q204" s="3">
        <v>11.432</v>
      </c>
      <c r="R204" s="3"/>
      <c r="S204" s="3">
        <v>54.886000000000003</v>
      </c>
      <c r="T204" s="2"/>
      <c r="U204" s="2"/>
      <c r="V204" s="3"/>
      <c r="W204" s="2"/>
      <c r="X204" s="2"/>
      <c r="Y204" s="3">
        <v>51.475000000000001</v>
      </c>
      <c r="Z204" s="4"/>
      <c r="AA204" s="4"/>
    </row>
    <row r="205" spans="1:27" ht="16" x14ac:dyDescent="0.2">
      <c r="A205" s="3" t="s">
        <v>43</v>
      </c>
      <c r="B205" s="3" t="s">
        <v>50</v>
      </c>
      <c r="C205" s="3">
        <v>168</v>
      </c>
      <c r="D205" s="3" t="s">
        <v>46</v>
      </c>
      <c r="E205" s="3">
        <v>0.83</v>
      </c>
      <c r="F205" s="3">
        <v>0.92</v>
      </c>
      <c r="G205" s="3">
        <f t="shared" si="5"/>
        <v>6.3431791999999998</v>
      </c>
      <c r="H205" s="3">
        <v>19.855</v>
      </c>
      <c r="I205" s="3">
        <v>0</v>
      </c>
      <c r="J205" s="3">
        <v>2.5299999999999998</v>
      </c>
      <c r="K205" s="3">
        <v>2.19</v>
      </c>
      <c r="L205" s="3">
        <v>5.093</v>
      </c>
      <c r="M205" s="3">
        <v>0.124</v>
      </c>
      <c r="N205" s="3">
        <v>0</v>
      </c>
      <c r="O205" s="3">
        <v>9.6769999999999996</v>
      </c>
      <c r="P205" s="3">
        <v>4.2039999999999997</v>
      </c>
      <c r="Q205" s="3">
        <v>12.053000000000001</v>
      </c>
      <c r="R205" s="3"/>
      <c r="S205" s="3">
        <v>57.604999999999997</v>
      </c>
      <c r="T205" s="2"/>
      <c r="U205" s="2"/>
      <c r="V205" s="3"/>
      <c r="W205" s="2"/>
      <c r="X205" s="2"/>
      <c r="Y205" s="3">
        <v>54.194000000000003</v>
      </c>
      <c r="Z205" s="4"/>
      <c r="AA205" s="4"/>
    </row>
    <row r="206" spans="1:27" ht="16" x14ac:dyDescent="0.2">
      <c r="A206" s="3" t="s">
        <v>43</v>
      </c>
      <c r="B206" s="3" t="s">
        <v>50</v>
      </c>
      <c r="C206" s="3">
        <v>190</v>
      </c>
      <c r="D206" s="3" t="s">
        <v>46</v>
      </c>
      <c r="E206" s="3">
        <v>0.78</v>
      </c>
      <c r="F206" s="3">
        <v>0.84</v>
      </c>
      <c r="G206" s="3">
        <f t="shared" si="5"/>
        <v>5.7915983999999998</v>
      </c>
      <c r="H206" s="3">
        <v>17.076000000000001</v>
      </c>
      <c r="I206" s="3">
        <v>0</v>
      </c>
      <c r="J206" s="3">
        <v>2.2360000000000002</v>
      </c>
      <c r="K206" s="3">
        <v>1.8660000000000001</v>
      </c>
      <c r="L206" s="3">
        <v>4.4320000000000004</v>
      </c>
      <c r="M206" s="3">
        <v>6.3E-2</v>
      </c>
      <c r="N206" s="3">
        <v>0</v>
      </c>
      <c r="O206" s="3">
        <v>8.26</v>
      </c>
      <c r="P206" s="3">
        <v>3.66</v>
      </c>
      <c r="Q206" s="3">
        <v>10.749000000000001</v>
      </c>
      <c r="R206" s="3"/>
      <c r="S206" s="2"/>
      <c r="T206" s="3">
        <v>2.319</v>
      </c>
      <c r="U206" s="3">
        <v>8.9149999999999991</v>
      </c>
      <c r="V206" s="3"/>
      <c r="W206" s="2"/>
      <c r="X206" s="2"/>
      <c r="Y206" s="2"/>
      <c r="Z206" s="4"/>
      <c r="AA206" s="4"/>
    </row>
    <row r="207" spans="1:27" ht="16" x14ac:dyDescent="0.2">
      <c r="A207" s="3" t="s">
        <v>43</v>
      </c>
      <c r="B207" s="3" t="s">
        <v>50</v>
      </c>
      <c r="C207" s="3">
        <v>240</v>
      </c>
      <c r="D207" s="3" t="s">
        <v>46</v>
      </c>
      <c r="E207" s="3">
        <v>0.57999999999999996</v>
      </c>
      <c r="F207" s="2"/>
      <c r="G207" s="3"/>
      <c r="H207" s="3">
        <v>18.004999999999999</v>
      </c>
      <c r="I207" s="3">
        <v>0</v>
      </c>
      <c r="J207" s="3">
        <v>2.39</v>
      </c>
      <c r="K207" s="3">
        <v>1.9610000000000001</v>
      </c>
      <c r="L207" s="3">
        <v>4.7089999999999996</v>
      </c>
      <c r="M207" s="3">
        <v>0.113</v>
      </c>
      <c r="N207" s="3">
        <v>0</v>
      </c>
      <c r="O207" s="3">
        <v>8.7609999999999992</v>
      </c>
      <c r="P207" s="3">
        <v>3.87</v>
      </c>
      <c r="Q207" s="3">
        <v>11.702</v>
      </c>
      <c r="R207" s="3"/>
      <c r="S207" s="2"/>
      <c r="T207" s="3"/>
      <c r="U207" s="3"/>
      <c r="V207" s="3"/>
      <c r="W207" s="3">
        <v>6.84</v>
      </c>
      <c r="X207" s="3"/>
      <c r="Y207" s="3"/>
      <c r="Z207" s="4"/>
      <c r="AA207" s="4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F947-D44C-974C-BDF7-028501CCD3AB}">
  <dimension ref="A1:AE85"/>
  <sheetViews>
    <sheetView workbookViewId="0">
      <pane ySplit="1" topLeftCell="A2" activePane="bottomLeft" state="frozen"/>
      <selection pane="bottomLeft" activeCell="R12" sqref="R12"/>
    </sheetView>
  </sheetViews>
  <sheetFormatPr baseColWidth="10" defaultRowHeight="15" x14ac:dyDescent="0.2"/>
  <cols>
    <col min="3" max="6" width="10.83203125" customWidth="1"/>
  </cols>
  <sheetData>
    <row r="1" spans="1:30" x14ac:dyDescent="0.2">
      <c r="A1" t="s">
        <v>1</v>
      </c>
      <c r="B1" t="s">
        <v>14</v>
      </c>
      <c r="C1" t="s">
        <v>20</v>
      </c>
      <c r="D1" t="s">
        <v>19</v>
      </c>
      <c r="E1" t="s">
        <v>18</v>
      </c>
      <c r="F1" t="s">
        <v>17</v>
      </c>
      <c r="G1" t="s">
        <v>16</v>
      </c>
      <c r="H1" t="s">
        <v>15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21</v>
      </c>
      <c r="P1" t="s">
        <v>22</v>
      </c>
      <c r="Q1" t="s">
        <v>23</v>
      </c>
      <c r="R1" t="s">
        <v>36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2">
      <c r="A2" t="s">
        <v>0</v>
      </c>
      <c r="B2">
        <v>0</v>
      </c>
      <c r="C2">
        <v>9.6666666666666654E-3</v>
      </c>
      <c r="D2">
        <v>5.7735026918962623E-4</v>
      </c>
      <c r="E2">
        <v>0.54</v>
      </c>
      <c r="F2">
        <v>0</v>
      </c>
      <c r="G2">
        <v>3.076441003333334</v>
      </c>
      <c r="H2">
        <v>5.0148785370537442E-2</v>
      </c>
      <c r="I2">
        <v>0</v>
      </c>
      <c r="J2">
        <v>0</v>
      </c>
      <c r="K2">
        <v>1.3893720691707578E-2</v>
      </c>
      <c r="L2">
        <v>2.4064630144208531E-2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7.6595457328601825E-3</v>
      </c>
      <c r="V2">
        <v>3.8217691604738461E-3</v>
      </c>
      <c r="W2">
        <v>2.1563906823268051E-3</v>
      </c>
      <c r="X2">
        <v>1.8779786357674716E-3</v>
      </c>
      <c r="Y2">
        <v>4.9322504133805416E-3</v>
      </c>
      <c r="Z2">
        <v>4.6718051188990896E-3</v>
      </c>
      <c r="AA2">
        <v>1.2128543950341244E-2</v>
      </c>
      <c r="AB2">
        <v>9.2095646783389648E-3</v>
      </c>
      <c r="AC2">
        <v>0</v>
      </c>
      <c r="AD2">
        <v>0</v>
      </c>
    </row>
    <row r="3" spans="1:30" x14ac:dyDescent="0.2">
      <c r="A3" t="s">
        <v>0</v>
      </c>
      <c r="B3">
        <v>21</v>
      </c>
      <c r="C3">
        <v>4.3666666666666666E-2</v>
      </c>
      <c r="D3">
        <v>3.5118845842842458E-3</v>
      </c>
      <c r="E3">
        <v>0.49733333333333335</v>
      </c>
      <c r="F3">
        <v>0.3695691184789841</v>
      </c>
      <c r="G3">
        <v>4.6871362620000001</v>
      </c>
      <c r="H3">
        <v>0.29509763673594813</v>
      </c>
      <c r="I3">
        <v>0</v>
      </c>
      <c r="J3">
        <v>0</v>
      </c>
      <c r="K3">
        <v>7.4531129112158714E-2</v>
      </c>
      <c r="L3">
        <v>4.7365983247951316E-3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3.3833781379476093E-3</v>
      </c>
      <c r="V3">
        <v>2.2080522572865643E-3</v>
      </c>
      <c r="W3">
        <v>0</v>
      </c>
      <c r="X3">
        <v>0</v>
      </c>
      <c r="Y3">
        <v>1.1664329830636045E-3</v>
      </c>
      <c r="Z3">
        <v>2.0203211902902907E-3</v>
      </c>
      <c r="AA3">
        <v>1.5638629411827687E-3</v>
      </c>
      <c r="AB3">
        <v>2.7086900702026542E-3</v>
      </c>
      <c r="AC3">
        <v>0</v>
      </c>
      <c r="AD3">
        <v>0</v>
      </c>
    </row>
    <row r="4" spans="1:30" x14ac:dyDescent="0.2">
      <c r="A4" t="s">
        <v>0</v>
      </c>
      <c r="B4">
        <v>28</v>
      </c>
      <c r="C4">
        <v>6.5000000000000002E-2</v>
      </c>
      <c r="D4">
        <v>6.9999999999999958E-3</v>
      </c>
      <c r="E4">
        <v>0.44666666666666671</v>
      </c>
      <c r="F4">
        <v>9.0184995056457537E-2</v>
      </c>
      <c r="G4">
        <v>5.9361481313333337</v>
      </c>
      <c r="H4">
        <v>0.41469457576383806</v>
      </c>
      <c r="I4">
        <v>0</v>
      </c>
      <c r="J4">
        <v>0</v>
      </c>
      <c r="K4">
        <v>0.175173414</v>
      </c>
      <c r="L4">
        <v>4.8447817569301103E-2</v>
      </c>
      <c r="M4">
        <v>8.4603659999999987E-3</v>
      </c>
      <c r="N4">
        <v>1.131793203109455E-2</v>
      </c>
      <c r="O4">
        <v>1.1300156666666668E-3</v>
      </c>
      <c r="P4">
        <v>9.8840145797460927E-4</v>
      </c>
      <c r="Q4">
        <v>7.0472159999999994E-3</v>
      </c>
      <c r="R4">
        <v>6.9516458743457306E-3</v>
      </c>
      <c r="S4">
        <v>0</v>
      </c>
      <c r="T4">
        <v>0</v>
      </c>
      <c r="U4">
        <v>6.8989483333333325E-3</v>
      </c>
      <c r="V4">
        <v>6.9681976859556965E-3</v>
      </c>
      <c r="W4">
        <v>7.7963653333333327E-3</v>
      </c>
      <c r="X4">
        <v>6.8958649724603326E-3</v>
      </c>
      <c r="Y4">
        <v>1.7088000000000002E-2</v>
      </c>
      <c r="Z4">
        <v>1.5969628860248945E-2</v>
      </c>
      <c r="AA4">
        <v>1.5699584333333332E-2</v>
      </c>
      <c r="AB4">
        <v>1.7525310588467027E-2</v>
      </c>
      <c r="AC4">
        <v>3.9869754666666667E-2</v>
      </c>
      <c r="AD4">
        <v>4.4700165789190817E-2</v>
      </c>
    </row>
    <row r="5" spans="1:30" x14ac:dyDescent="0.2">
      <c r="A5" t="s">
        <v>0</v>
      </c>
      <c r="B5">
        <v>45</v>
      </c>
      <c r="C5">
        <v>0.13333333333333333</v>
      </c>
      <c r="D5">
        <v>2.3094010767584959E-2</v>
      </c>
      <c r="E5">
        <v>0.3066666666666667</v>
      </c>
      <c r="F5">
        <v>8.326663997864539E-2</v>
      </c>
      <c r="G5">
        <v>10.011009534000001</v>
      </c>
      <c r="H5">
        <v>1.0038403806281004</v>
      </c>
      <c r="I5">
        <v>0</v>
      </c>
      <c r="J5">
        <v>0</v>
      </c>
      <c r="K5">
        <v>0.14730937120326068</v>
      </c>
      <c r="L5">
        <v>3.6971098527729777E-2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1.3781687731560124E-3</v>
      </c>
      <c r="V5">
        <v>1.798180771535313E-3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">
      <c r="A6" t="s">
        <v>0</v>
      </c>
      <c r="B6">
        <v>52</v>
      </c>
      <c r="C6">
        <v>0.22333333333333336</v>
      </c>
      <c r="D6">
        <v>4.932882862316243E-2</v>
      </c>
      <c r="E6">
        <v>0.28000000000000003</v>
      </c>
      <c r="F6">
        <v>0.1385640646055101</v>
      </c>
      <c r="G6">
        <v>12.160385273933334</v>
      </c>
      <c r="H6">
        <v>1.769459561254767</v>
      </c>
      <c r="I6">
        <v>0</v>
      </c>
      <c r="J6">
        <v>0</v>
      </c>
      <c r="K6">
        <v>0.36559564400000005</v>
      </c>
      <c r="L6">
        <v>4.9221551941481374E-2</v>
      </c>
      <c r="M6">
        <v>0</v>
      </c>
      <c r="N6">
        <v>0</v>
      </c>
      <c r="O6">
        <v>2.8052564000000002E-2</v>
      </c>
      <c r="P6">
        <v>1.2664851235182028E-2</v>
      </c>
      <c r="Q6">
        <v>4.1080103333333336E-3</v>
      </c>
      <c r="R6">
        <v>3.5044860434798905E-3</v>
      </c>
      <c r="S6">
        <v>8.858027000000001E-3</v>
      </c>
      <c r="T6">
        <v>1.4406882911943617E-2</v>
      </c>
      <c r="U6">
        <v>3.5872230000000001E-3</v>
      </c>
      <c r="V6">
        <v>2.5385333048963525E-3</v>
      </c>
      <c r="W6">
        <v>0</v>
      </c>
      <c r="X6">
        <v>0</v>
      </c>
      <c r="Y6">
        <v>3.6379303333333335E-2</v>
      </c>
      <c r="Z6">
        <v>1.4635734714672386E-2</v>
      </c>
      <c r="AA6">
        <v>1.5162793333333335E-3</v>
      </c>
      <c r="AB6">
        <v>2.6262728437999989E-3</v>
      </c>
      <c r="AC6">
        <v>0</v>
      </c>
      <c r="AD6">
        <v>0</v>
      </c>
    </row>
    <row r="7" spans="1:30" x14ac:dyDescent="0.2">
      <c r="A7" t="s">
        <v>0</v>
      </c>
      <c r="B7">
        <v>69</v>
      </c>
      <c r="C7">
        <v>0.46333333333333332</v>
      </c>
      <c r="D7">
        <v>4.9328828623162485E-2</v>
      </c>
      <c r="E7">
        <v>0.98666666666666669</v>
      </c>
      <c r="F7">
        <v>0.25716402029314556</v>
      </c>
      <c r="G7">
        <v>26.133215576666668</v>
      </c>
      <c r="H7">
        <v>3.1116154972384842</v>
      </c>
      <c r="I7">
        <v>0</v>
      </c>
      <c r="J7">
        <v>0</v>
      </c>
      <c r="K7">
        <v>0.18342702024285307</v>
      </c>
      <c r="L7">
        <v>2.5639894321751948E-2</v>
      </c>
      <c r="M7">
        <v>0</v>
      </c>
      <c r="N7">
        <v>0</v>
      </c>
      <c r="O7">
        <v>2.9462676941144367E-2</v>
      </c>
      <c r="P7">
        <v>7.6054187922491578E-3</v>
      </c>
      <c r="Q7">
        <v>0</v>
      </c>
      <c r="R7">
        <v>0</v>
      </c>
      <c r="S7">
        <v>4.9839053894756659E-2</v>
      </c>
      <c r="T7">
        <v>1.2879214453892906E-2</v>
      </c>
      <c r="U7">
        <v>1.0523169761988173E-2</v>
      </c>
      <c r="V7">
        <v>1.5683582591989177E-3</v>
      </c>
      <c r="W7">
        <v>0</v>
      </c>
      <c r="X7">
        <v>0</v>
      </c>
      <c r="Y7">
        <v>7.3154420690879865E-2</v>
      </c>
      <c r="Z7">
        <v>6.6947269717392566E-3</v>
      </c>
      <c r="AA7">
        <v>6.4895161764264964E-2</v>
      </c>
      <c r="AB7">
        <v>1.1576172750428201E-2</v>
      </c>
      <c r="AC7">
        <v>0</v>
      </c>
      <c r="AD7">
        <v>0</v>
      </c>
    </row>
    <row r="8" spans="1:30" x14ac:dyDescent="0.2">
      <c r="A8" t="s">
        <v>0</v>
      </c>
      <c r="B8">
        <v>76</v>
      </c>
      <c r="C8">
        <v>0.51666666666666672</v>
      </c>
      <c r="D8">
        <v>5.507570547286101E-2</v>
      </c>
      <c r="E8">
        <v>0.82666666666666666</v>
      </c>
      <c r="F8">
        <v>0.18903262505010449</v>
      </c>
      <c r="G8">
        <v>27.54739601573333</v>
      </c>
      <c r="H8">
        <v>2.5196779306002721</v>
      </c>
      <c r="I8">
        <v>0</v>
      </c>
      <c r="J8">
        <v>0</v>
      </c>
      <c r="K8">
        <v>0.29388452599999998</v>
      </c>
      <c r="L8">
        <v>6.0870395862361759E-2</v>
      </c>
      <c r="M8">
        <v>0</v>
      </c>
      <c r="N8">
        <v>0</v>
      </c>
      <c r="O8">
        <v>0.10748142933333334</v>
      </c>
      <c r="P8">
        <v>1.0317324129002844E-2</v>
      </c>
      <c r="Q8">
        <v>1.1987907333333334E-2</v>
      </c>
      <c r="R8">
        <v>3.1950869774059888E-3</v>
      </c>
      <c r="S8">
        <v>0.130551264</v>
      </c>
      <c r="T8">
        <v>1.4274139691363997E-2</v>
      </c>
      <c r="U8">
        <v>9.2796196666666674E-3</v>
      </c>
      <c r="V8">
        <v>1.7812133429329379E-3</v>
      </c>
      <c r="W8">
        <v>0</v>
      </c>
      <c r="X8">
        <v>0</v>
      </c>
      <c r="Y8">
        <v>0.11951543066666666</v>
      </c>
      <c r="Z8">
        <v>1.4703835758648323E-2</v>
      </c>
      <c r="AA8">
        <v>0.12729784833333335</v>
      </c>
      <c r="AB8">
        <v>1.2558970367827308E-2</v>
      </c>
      <c r="AC8">
        <v>0.13636141433333335</v>
      </c>
      <c r="AD8">
        <v>2.684863871885864E-2</v>
      </c>
    </row>
    <row r="9" spans="1:30" x14ac:dyDescent="0.2">
      <c r="A9" t="s">
        <v>0</v>
      </c>
      <c r="B9">
        <v>92</v>
      </c>
      <c r="C9">
        <v>0.54</v>
      </c>
      <c r="D9">
        <v>4.3588989435406712E-2</v>
      </c>
      <c r="E9">
        <v>0.82666666666666666</v>
      </c>
      <c r="F9">
        <v>0.10066445913694336</v>
      </c>
      <c r="G9">
        <v>32.842682500000002</v>
      </c>
      <c r="H9">
        <v>0.5998091023104124</v>
      </c>
      <c r="I9">
        <v>0</v>
      </c>
      <c r="J9">
        <v>0</v>
      </c>
      <c r="K9">
        <v>0.13858504477444936</v>
      </c>
      <c r="L9">
        <v>2.6637748511367007E-2</v>
      </c>
      <c r="M9">
        <v>0</v>
      </c>
      <c r="N9">
        <v>0</v>
      </c>
      <c r="O9">
        <v>5.2916427046309465E-2</v>
      </c>
      <c r="P9">
        <v>9.3082417926904967E-3</v>
      </c>
      <c r="Q9">
        <v>0</v>
      </c>
      <c r="R9">
        <v>0</v>
      </c>
      <c r="S9">
        <v>8.1658969057773548E-2</v>
      </c>
      <c r="T9">
        <v>1.2368413821220779E-2</v>
      </c>
      <c r="U9">
        <v>9.9899360665842273E-3</v>
      </c>
      <c r="V9">
        <v>4.3594841954738985E-4</v>
      </c>
      <c r="W9">
        <v>0</v>
      </c>
      <c r="X9">
        <v>0</v>
      </c>
      <c r="Y9">
        <v>6.0714838083681361E-2</v>
      </c>
      <c r="Z9">
        <v>5.9860453063791692E-3</v>
      </c>
      <c r="AA9">
        <v>0.1285210584668797</v>
      </c>
      <c r="AB9">
        <v>1.0113084577338047E-2</v>
      </c>
      <c r="AC9">
        <v>7.1464089681975845E-2</v>
      </c>
      <c r="AD9">
        <v>1.7602261553413549E-2</v>
      </c>
    </row>
    <row r="10" spans="1:30" x14ac:dyDescent="0.2">
      <c r="A10" t="s">
        <v>0</v>
      </c>
      <c r="B10">
        <v>100</v>
      </c>
      <c r="C10">
        <v>0.55000000000000004</v>
      </c>
      <c r="D10">
        <v>3.4641016151377511E-2</v>
      </c>
      <c r="E10">
        <v>1.0466666666666666</v>
      </c>
      <c r="F10">
        <v>0.13012814197295561</v>
      </c>
      <c r="G10">
        <v>36.178824605133329</v>
      </c>
      <c r="H10">
        <v>2.28929309535022</v>
      </c>
      <c r="I10">
        <v>0</v>
      </c>
      <c r="J10">
        <v>0</v>
      </c>
      <c r="K10">
        <v>0.24618842299999999</v>
      </c>
      <c r="L10">
        <v>2.3844127739389605E-2</v>
      </c>
      <c r="M10">
        <v>0</v>
      </c>
      <c r="N10">
        <v>0</v>
      </c>
      <c r="O10">
        <v>0.13543995600000003</v>
      </c>
      <c r="P10">
        <v>1.2775581033835099E-2</v>
      </c>
      <c r="Q10">
        <v>1.6891647333333332E-2</v>
      </c>
      <c r="R10">
        <v>3.7203955743818871E-3</v>
      </c>
      <c r="S10">
        <v>0.17227963166666668</v>
      </c>
      <c r="T10">
        <v>2.3634613123305961E-2</v>
      </c>
      <c r="U10">
        <v>1.0726677333333332E-2</v>
      </c>
      <c r="V10">
        <v>1.9028490628532084E-3</v>
      </c>
      <c r="W10">
        <v>4.8255796666666672E-3</v>
      </c>
      <c r="X10">
        <v>2.3027647294342375E-3</v>
      </c>
      <c r="Y10">
        <v>0.10882640333333334</v>
      </c>
      <c r="Z10">
        <v>1.2453570287183767E-2</v>
      </c>
      <c r="AA10">
        <v>0.20764599566666667</v>
      </c>
      <c r="AB10">
        <v>1.4551827058607874E-2</v>
      </c>
      <c r="AC10">
        <v>0.28655720833333337</v>
      </c>
      <c r="AD10">
        <v>3.222181737740025E-2</v>
      </c>
    </row>
    <row r="11" spans="1:30" x14ac:dyDescent="0.2">
      <c r="A11" t="s">
        <v>0</v>
      </c>
      <c r="B11">
        <v>117</v>
      </c>
      <c r="C11">
        <v>0.53333333333333333</v>
      </c>
      <c r="D11">
        <v>4.5092497528228921E-2</v>
      </c>
      <c r="E11">
        <v>0.40666666666666668</v>
      </c>
      <c r="F11">
        <v>0.11015141094572227</v>
      </c>
      <c r="G11">
        <v>43.044427089999999</v>
      </c>
      <c r="H11">
        <v>0.88134663544963376</v>
      </c>
      <c r="I11">
        <v>0</v>
      </c>
      <c r="J11">
        <v>0</v>
      </c>
      <c r="K11">
        <v>0.14025927775324443</v>
      </c>
      <c r="L11">
        <v>1.3608143921310645E-2</v>
      </c>
      <c r="M11">
        <v>0</v>
      </c>
      <c r="N11">
        <v>0</v>
      </c>
      <c r="O11">
        <v>9.8139574944561658E-2</v>
      </c>
      <c r="P11">
        <v>2.0297324145213704E-2</v>
      </c>
      <c r="Q11">
        <v>0</v>
      </c>
      <c r="R11">
        <v>0</v>
      </c>
      <c r="S11">
        <v>0.15530080023435353</v>
      </c>
      <c r="T11">
        <v>3.5792242075048976E-2</v>
      </c>
      <c r="U11">
        <v>1.4345198548153327E-2</v>
      </c>
      <c r="V11">
        <v>3.0401880061400747E-3</v>
      </c>
      <c r="W11">
        <v>0</v>
      </c>
      <c r="X11">
        <v>0</v>
      </c>
      <c r="Y11">
        <v>8.4497436207518054E-2</v>
      </c>
      <c r="Z11">
        <v>1.6316994914425013E-2</v>
      </c>
      <c r="AA11">
        <v>0.21228515379117716</v>
      </c>
      <c r="AB11">
        <v>2.3284706785005955E-2</v>
      </c>
      <c r="AC11">
        <v>0.20958545150645255</v>
      </c>
      <c r="AD11">
        <v>4.481410324018794E-2</v>
      </c>
    </row>
    <row r="12" spans="1:30" x14ac:dyDescent="0.2">
      <c r="A12" t="s">
        <v>0</v>
      </c>
      <c r="B12">
        <v>142</v>
      </c>
      <c r="C12">
        <v>0.44</v>
      </c>
      <c r="D12">
        <v>1.0000000000000009E-2</v>
      </c>
      <c r="E12">
        <v>0.38000000000000006</v>
      </c>
      <c r="F12">
        <v>7.9999999999999585E-2</v>
      </c>
      <c r="G12">
        <v>42.122538584600001</v>
      </c>
      <c r="H12">
        <v>0.9871629524494534</v>
      </c>
      <c r="I12">
        <v>0</v>
      </c>
      <c r="J12">
        <v>0</v>
      </c>
      <c r="K12">
        <v>0.27439050733333331</v>
      </c>
      <c r="L12">
        <v>9.2992151656958053E-2</v>
      </c>
      <c r="M12">
        <v>1.4950423333333332E-2</v>
      </c>
      <c r="N12">
        <v>1.533532347359081E-2</v>
      </c>
      <c r="O12">
        <v>0.21164046066666667</v>
      </c>
      <c r="P12">
        <v>4.5803915423435794E-2</v>
      </c>
      <c r="Q12">
        <v>4.3643165333333338E-2</v>
      </c>
      <c r="R12">
        <v>1.2513268507284186E-2</v>
      </c>
      <c r="S12">
        <v>0.28073743733333328</v>
      </c>
      <c r="T12">
        <v>5.8506979290746323E-2</v>
      </c>
      <c r="U12">
        <v>2.0483688666666666E-2</v>
      </c>
      <c r="V12">
        <v>6.0369168355555794E-3</v>
      </c>
      <c r="W12">
        <v>1.6008878666666667E-2</v>
      </c>
      <c r="X12">
        <v>6.0836737760302717E-3</v>
      </c>
      <c r="Y12">
        <v>0.14095491766666665</v>
      </c>
      <c r="Z12">
        <v>2.7496111561768406E-2</v>
      </c>
      <c r="AA12">
        <v>0.30149809399999999</v>
      </c>
      <c r="AB12">
        <v>5.3709435093464757E-2</v>
      </c>
      <c r="AC12">
        <v>0.40727403633333331</v>
      </c>
      <c r="AD12">
        <v>4.4621731315137587E-2</v>
      </c>
    </row>
    <row r="13" spans="1:30" x14ac:dyDescent="0.2">
      <c r="A13" t="s">
        <v>0</v>
      </c>
      <c r="B13">
        <v>168</v>
      </c>
      <c r="C13">
        <v>0.37666666666666665</v>
      </c>
      <c r="D13">
        <v>3.7859388972001827E-2</v>
      </c>
      <c r="E13">
        <v>0.22</v>
      </c>
      <c r="F13">
        <v>6.9282032302755078E-2</v>
      </c>
      <c r="G13">
        <v>42.757536933066667</v>
      </c>
      <c r="H13">
        <v>0.77332738818459512</v>
      </c>
      <c r="I13">
        <v>0</v>
      </c>
      <c r="J13">
        <v>0</v>
      </c>
      <c r="K13">
        <v>0.26120485300000001</v>
      </c>
      <c r="L13">
        <v>1.9162716802980241E-2</v>
      </c>
      <c r="M13">
        <v>1.4980134666666667E-2</v>
      </c>
      <c r="N13">
        <v>4.1850393517870593E-3</v>
      </c>
      <c r="O13">
        <v>0.20961041333333333</v>
      </c>
      <c r="P13">
        <v>1.6823840034902917E-2</v>
      </c>
      <c r="Q13">
        <v>5.285612533333333E-2</v>
      </c>
      <c r="R13">
        <v>6.3802871622786169E-3</v>
      </c>
      <c r="S13">
        <v>0.27381916833333336</v>
      </c>
      <c r="T13">
        <v>2.3205893382115463E-2</v>
      </c>
      <c r="U13">
        <v>2.1640687666666669E-2</v>
      </c>
      <c r="V13">
        <v>2.1818006479379219E-3</v>
      </c>
      <c r="W13">
        <v>1.4801899333333335E-2</v>
      </c>
      <c r="X13">
        <v>1.4351925460959355E-3</v>
      </c>
      <c r="Y13">
        <v>0.13520902099999998</v>
      </c>
      <c r="Z13">
        <v>9.727604589333548E-3</v>
      </c>
      <c r="AA13">
        <v>0.30459295199999997</v>
      </c>
      <c r="AB13">
        <v>1.8158988638163374E-2</v>
      </c>
      <c r="AC13">
        <v>0.41693123099999996</v>
      </c>
      <c r="AD13">
        <v>1.9942451146812319E-2</v>
      </c>
    </row>
    <row r="14" spans="1:30" x14ac:dyDescent="0.2">
      <c r="A14" t="s">
        <v>0</v>
      </c>
      <c r="B14">
        <v>190</v>
      </c>
      <c r="C14">
        <v>0.22333333333333336</v>
      </c>
      <c r="D14">
        <v>2.081665999466132E-2</v>
      </c>
      <c r="E14">
        <v>0.10666666666666667</v>
      </c>
      <c r="F14">
        <v>9.4516312525052174E-2</v>
      </c>
      <c r="G14">
        <v>43.798390783533335</v>
      </c>
      <c r="H14">
        <v>0.69418508434942694</v>
      </c>
      <c r="I14">
        <v>0</v>
      </c>
      <c r="J14">
        <v>0</v>
      </c>
      <c r="K14">
        <v>0.24654710266666666</v>
      </c>
      <c r="L14">
        <v>2.374454952567507E-2</v>
      </c>
      <c r="M14">
        <v>1.8167090666666667E-2</v>
      </c>
      <c r="N14">
        <v>5.215691433686072E-3</v>
      </c>
      <c r="O14">
        <v>0.19528897533333334</v>
      </c>
      <c r="P14">
        <v>1.9580235197791333E-2</v>
      </c>
      <c r="Q14">
        <v>5.106723866666666E-2</v>
      </c>
      <c r="R14">
        <v>7.9987675255540295E-3</v>
      </c>
      <c r="S14">
        <v>0.25150424133333332</v>
      </c>
      <c r="T14">
        <v>3.5534579111988353E-2</v>
      </c>
      <c r="U14">
        <v>1.9027181333333334E-2</v>
      </c>
      <c r="V14">
        <v>1.9975692718945523E-3</v>
      </c>
      <c r="W14">
        <v>1.3500672999999999E-2</v>
      </c>
      <c r="X14">
        <v>3.5494867151768588E-3</v>
      </c>
      <c r="Y14">
        <v>0.119484193</v>
      </c>
      <c r="Z14">
        <v>1.4423741392857089E-2</v>
      </c>
      <c r="AA14">
        <v>0.26766583766666668</v>
      </c>
      <c r="AB14">
        <v>1.9297593671937677E-2</v>
      </c>
      <c r="AC14">
        <v>0.37173675666666667</v>
      </c>
      <c r="AD14">
        <v>4.3422177824367726E-2</v>
      </c>
    </row>
    <row r="15" spans="1:30" x14ac:dyDescent="0.2">
      <c r="A15" t="s">
        <v>0</v>
      </c>
      <c r="B15">
        <v>240</v>
      </c>
      <c r="C15">
        <v>9.4333333333333338E-2</v>
      </c>
      <c r="D15">
        <v>2.0816659994661348E-3</v>
      </c>
      <c r="E15" t="s">
        <v>2</v>
      </c>
      <c r="F15" t="s">
        <v>2</v>
      </c>
      <c r="G15">
        <v>48.978190000000005</v>
      </c>
      <c r="H15">
        <v>3.5396955534056902</v>
      </c>
      <c r="I15">
        <v>0</v>
      </c>
      <c r="J15">
        <v>0</v>
      </c>
      <c r="K15">
        <v>0.284497738</v>
      </c>
      <c r="L15">
        <v>2.1731410123896292E-2</v>
      </c>
      <c r="M15">
        <v>2.5709282E-2</v>
      </c>
      <c r="N15">
        <v>3.7051394362467654E-3</v>
      </c>
      <c r="O15">
        <v>0.20662026133333333</v>
      </c>
      <c r="P15">
        <v>1.2146351776755947E-2</v>
      </c>
      <c r="Q15">
        <v>5.6236251333333341E-2</v>
      </c>
      <c r="R15">
        <v>6.779250485865993E-3</v>
      </c>
      <c r="S15">
        <v>0.26480546666666666</v>
      </c>
      <c r="T15">
        <v>8.3472115856174645E-3</v>
      </c>
      <c r="U15">
        <v>2.0093842000000001E-2</v>
      </c>
      <c r="V15">
        <v>1.7613114663661855E-3</v>
      </c>
      <c r="W15">
        <v>1.5345645333333333E-2</v>
      </c>
      <c r="X15">
        <v>2.3778247769777592E-3</v>
      </c>
      <c r="Y15">
        <v>0.12424754266666667</v>
      </c>
      <c r="Z15">
        <v>5.3139294136849728E-3</v>
      </c>
      <c r="AA15">
        <v>0.28247982133333333</v>
      </c>
      <c r="AB15">
        <v>1.6939487445627472E-2</v>
      </c>
      <c r="AC15">
        <v>0.38420706600000004</v>
      </c>
      <c r="AD15">
        <v>1.3866062980437825E-2</v>
      </c>
    </row>
    <row r="16" spans="1:30" x14ac:dyDescent="0.2">
      <c r="A16" t="s">
        <v>3</v>
      </c>
      <c r="B16" s="2">
        <v>0</v>
      </c>
      <c r="C16">
        <v>6.333333333333334E-3</v>
      </c>
      <c r="D16">
        <v>1.5275252316519468E-3</v>
      </c>
      <c r="E16">
        <v>0.5</v>
      </c>
      <c r="F16">
        <v>0</v>
      </c>
      <c r="G16">
        <v>3.2287663020000004</v>
      </c>
      <c r="H16">
        <v>5.5237592553645069E-2</v>
      </c>
      <c r="I16">
        <v>10.573260073333334</v>
      </c>
      <c r="J16">
        <v>0.14699139529234378</v>
      </c>
      <c r="K16">
        <v>2.2084227716670402E-2</v>
      </c>
      <c r="L16">
        <v>1.9184763228047359E-2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1" x14ac:dyDescent="0.2">
      <c r="A17" t="s">
        <v>3</v>
      </c>
      <c r="B17" s="2">
        <v>21</v>
      </c>
      <c r="C17">
        <v>6.1666666666666668E-2</v>
      </c>
      <c r="D17">
        <v>6.6583281184793962E-3</v>
      </c>
      <c r="E17">
        <v>0.87333333333333341</v>
      </c>
      <c r="F17">
        <v>4.6188021535170105E-2</v>
      </c>
      <c r="G17">
        <v>4.1155568740000001</v>
      </c>
      <c r="H17">
        <v>7.9643703919770548E-2</v>
      </c>
      <c r="I17">
        <v>10.446012053333332</v>
      </c>
      <c r="J17">
        <v>0.11086639902439399</v>
      </c>
      <c r="K17">
        <v>7.9396458859438024E-2</v>
      </c>
      <c r="L17">
        <v>1.259201933623989E-2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1.3687726934889415E-2</v>
      </c>
      <c r="Z17">
        <v>2.7034969785995075E-3</v>
      </c>
      <c r="AA17">
        <v>0</v>
      </c>
      <c r="AB17">
        <v>0</v>
      </c>
      <c r="AC17">
        <v>0</v>
      </c>
      <c r="AD17">
        <v>0</v>
      </c>
    </row>
    <row r="18" spans="1:31" x14ac:dyDescent="0.2">
      <c r="A18" t="s">
        <v>3</v>
      </c>
      <c r="B18" s="2">
        <v>28</v>
      </c>
      <c r="C18">
        <v>0.12066666666666666</v>
      </c>
      <c r="D18">
        <v>4.6188021535170098E-3</v>
      </c>
      <c r="E18">
        <v>0.97333333333333327</v>
      </c>
      <c r="F18">
        <v>7.5718777944003682E-2</v>
      </c>
      <c r="G18">
        <v>5.4276203900000013</v>
      </c>
      <c r="H18">
        <v>0.24651387618021822</v>
      </c>
      <c r="I18">
        <v>9.7393653012101655</v>
      </c>
      <c r="J18">
        <v>8.9860251035697183E-2</v>
      </c>
      <c r="K18">
        <v>0.19833135633333332</v>
      </c>
      <c r="L18">
        <v>2.7843109411783497E-2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4.442206566666667E-2</v>
      </c>
      <c r="Z18">
        <v>7.2854326054617108E-3</v>
      </c>
      <c r="AA18">
        <v>0</v>
      </c>
      <c r="AB18">
        <v>0</v>
      </c>
      <c r="AC18">
        <v>0</v>
      </c>
      <c r="AD18">
        <v>0</v>
      </c>
    </row>
    <row r="19" spans="1:31" x14ac:dyDescent="0.2">
      <c r="A19" t="s">
        <v>3</v>
      </c>
      <c r="B19" s="2">
        <v>45</v>
      </c>
      <c r="C19">
        <v>0.43</v>
      </c>
      <c r="D19">
        <v>3.6055512754639869E-2</v>
      </c>
      <c r="E19">
        <v>2.3533333333333331</v>
      </c>
      <c r="F19">
        <v>0.12858201014657283</v>
      </c>
      <c r="G19">
        <v>10.946869346</v>
      </c>
      <c r="H19">
        <v>1.018989123633504</v>
      </c>
      <c r="I19">
        <v>9.6086730476666666</v>
      </c>
      <c r="J19">
        <v>4.5860619576464576E-2</v>
      </c>
      <c r="K19">
        <v>0.35733570671753584</v>
      </c>
      <c r="L19">
        <v>1.6201497525719026E-2</v>
      </c>
      <c r="M19">
        <v>0</v>
      </c>
      <c r="N19">
        <v>0</v>
      </c>
      <c r="O19">
        <v>0</v>
      </c>
      <c r="P19">
        <v>0</v>
      </c>
      <c r="Q19">
        <v>3.8868397429196894E-5</v>
      </c>
      <c r="R19">
        <v>6.7322039156148556E-5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0.15546013704217723</v>
      </c>
      <c r="Z19">
        <v>1.0168908286274675E-2</v>
      </c>
      <c r="AA19">
        <v>0</v>
      </c>
      <c r="AB19">
        <v>0</v>
      </c>
      <c r="AC19">
        <v>2.2249495897806212E-2</v>
      </c>
      <c r="AD19">
        <v>1.5995313599149529E-2</v>
      </c>
      <c r="AE19" s="1"/>
    </row>
    <row r="20" spans="1:31" x14ac:dyDescent="0.2">
      <c r="A20" t="s">
        <v>3</v>
      </c>
      <c r="B20" s="2">
        <v>52</v>
      </c>
      <c r="C20">
        <v>0.57999999999999996</v>
      </c>
      <c r="D20">
        <v>7.0000000000000007E-2</v>
      </c>
      <c r="E20">
        <v>2.7466666666666666</v>
      </c>
      <c r="F20">
        <v>0.15011106998930257</v>
      </c>
      <c r="G20">
        <v>12.241159377133334</v>
      </c>
      <c r="H20">
        <v>1.0432322281863755</v>
      </c>
      <c r="I20">
        <v>8.5817998291792836</v>
      </c>
      <c r="J20">
        <v>0.1685576744825551</v>
      </c>
      <c r="K20">
        <v>0.5417357776666667</v>
      </c>
      <c r="L20">
        <v>3.0001737019311591E-2</v>
      </c>
      <c r="M20">
        <v>2.5066716666666666E-3</v>
      </c>
      <c r="N20">
        <v>2.999947658612119E-3</v>
      </c>
      <c r="O20">
        <v>4.6854904666666669E-2</v>
      </c>
      <c r="P20">
        <v>3.1945928197331087E-3</v>
      </c>
      <c r="Q20">
        <v>5.0677859666666665E-2</v>
      </c>
      <c r="R20">
        <v>3.5927182575053581E-3</v>
      </c>
      <c r="S20">
        <v>2.9062353333333332E-3</v>
      </c>
      <c r="T20">
        <v>2.577834258049251E-3</v>
      </c>
      <c r="U20">
        <v>0</v>
      </c>
      <c r="V20">
        <v>0</v>
      </c>
      <c r="W20">
        <v>7.6444399999999997E-4</v>
      </c>
      <c r="X20">
        <v>6.6266073375521504E-4</v>
      </c>
      <c r="Y20">
        <v>0.27762946999999999</v>
      </c>
      <c r="Z20">
        <v>1.4307128563250887E-2</v>
      </c>
      <c r="AA20">
        <v>0</v>
      </c>
      <c r="AB20">
        <v>0</v>
      </c>
      <c r="AC20">
        <v>0.31188888966666667</v>
      </c>
      <c r="AD20">
        <v>4.4809049524858036E-2</v>
      </c>
      <c r="AE20" s="1"/>
    </row>
    <row r="21" spans="1:31" x14ac:dyDescent="0.2">
      <c r="A21" t="s">
        <v>3</v>
      </c>
      <c r="B21" s="2">
        <v>69</v>
      </c>
      <c r="C21">
        <v>1.0433333333333332</v>
      </c>
      <c r="D21">
        <v>8.3864970836060773E-2</v>
      </c>
      <c r="E21">
        <v>4.0799999999999992</v>
      </c>
      <c r="F21">
        <v>0.13114877048604009</v>
      </c>
      <c r="G21">
        <v>21.495426706666667</v>
      </c>
      <c r="H21">
        <v>1.1609817365993231</v>
      </c>
      <c r="I21">
        <v>7.8178896373333329</v>
      </c>
      <c r="J21">
        <v>0.2210101442489058</v>
      </c>
      <c r="K21">
        <v>0.48277608235581404</v>
      </c>
      <c r="L21">
        <v>4.0645183460998824E-2</v>
      </c>
      <c r="M21">
        <v>0</v>
      </c>
      <c r="N21">
        <v>0</v>
      </c>
      <c r="O21">
        <v>1.8226732267779741E-3</v>
      </c>
      <c r="P21">
        <v>2.6977919943956255E-3</v>
      </c>
      <c r="Q21">
        <v>4.3805965558128324E-2</v>
      </c>
      <c r="R21">
        <v>4.203030540304414E-3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0.35403616417739697</v>
      </c>
      <c r="Z21">
        <v>1.6953927969200925E-2</v>
      </c>
      <c r="AA21">
        <v>0</v>
      </c>
      <c r="AB21">
        <v>0</v>
      </c>
      <c r="AC21">
        <v>0.64586596806218444</v>
      </c>
      <c r="AD21">
        <v>1.4361888186122005E-2</v>
      </c>
      <c r="AE21" s="1"/>
    </row>
    <row r="22" spans="1:31" x14ac:dyDescent="0.2">
      <c r="A22" t="s">
        <v>3</v>
      </c>
      <c r="B22" s="2">
        <v>76</v>
      </c>
      <c r="C22">
        <v>1.2433333333333332</v>
      </c>
      <c r="D22">
        <v>5.8594652770823208E-2</v>
      </c>
      <c r="E22">
        <v>4.08</v>
      </c>
      <c r="F22">
        <v>0.12489995996796791</v>
      </c>
      <c r="G22">
        <v>20.373481556066668</v>
      </c>
      <c r="H22">
        <v>1.5073216932374089</v>
      </c>
      <c r="I22">
        <v>6.8336050935631647</v>
      </c>
      <c r="J22">
        <v>0.10083182749873154</v>
      </c>
      <c r="K22">
        <v>0.67269949400000006</v>
      </c>
      <c r="L22">
        <v>5.4188497933472579E-2</v>
      </c>
      <c r="M22">
        <v>3.5927154666666662E-2</v>
      </c>
      <c r="N22">
        <v>9.57795123995921E-3</v>
      </c>
      <c r="O22">
        <v>5.3173062666666666E-2</v>
      </c>
      <c r="P22">
        <v>2.348248252573465E-3</v>
      </c>
      <c r="Q22">
        <v>0.105559187</v>
      </c>
      <c r="R22">
        <v>9.6275762407551421E-3</v>
      </c>
      <c r="S22">
        <v>3.9487993999999998E-2</v>
      </c>
      <c r="T22">
        <v>3.4248570475492839E-3</v>
      </c>
      <c r="U22">
        <v>0</v>
      </c>
      <c r="V22">
        <v>0</v>
      </c>
      <c r="W22">
        <v>1.2154748333333333E-2</v>
      </c>
      <c r="X22">
        <v>1.5198220898955019E-3</v>
      </c>
      <c r="Y22">
        <v>0.50866068366666672</v>
      </c>
      <c r="Z22">
        <v>1.4926325834392216E-2</v>
      </c>
      <c r="AA22">
        <v>6.3909666666666669E-5</v>
      </c>
      <c r="AB22">
        <v>1.1069478976145775E-4</v>
      </c>
      <c r="AC22">
        <v>1.1596308663333332</v>
      </c>
      <c r="AD22">
        <v>8.5983369500284595E-2</v>
      </c>
      <c r="AE22" s="1"/>
    </row>
    <row r="23" spans="1:31" x14ac:dyDescent="0.2">
      <c r="A23" t="s">
        <v>3</v>
      </c>
      <c r="B23" s="2">
        <v>92</v>
      </c>
      <c r="C23">
        <v>1.43</v>
      </c>
      <c r="D23">
        <v>4.0000000000000036E-2</v>
      </c>
      <c r="E23">
        <v>4.5066666666666668</v>
      </c>
      <c r="F23">
        <v>0.15275252316519461</v>
      </c>
      <c r="G23">
        <v>28.505894703333329</v>
      </c>
      <c r="H23">
        <v>0.45499407096645123</v>
      </c>
      <c r="I23">
        <v>6.2833628736666673</v>
      </c>
      <c r="J23">
        <v>8.7918779592302293E-2</v>
      </c>
      <c r="K23">
        <v>0.51472899830942109</v>
      </c>
      <c r="L23">
        <v>4.2669348941477787E-2</v>
      </c>
      <c r="M23">
        <v>0</v>
      </c>
      <c r="N23">
        <v>0</v>
      </c>
      <c r="O23">
        <v>2.3720070581410152E-3</v>
      </c>
      <c r="P23">
        <v>2.3488940144642712E-3</v>
      </c>
      <c r="Q23">
        <v>6.2210284060907318E-2</v>
      </c>
      <c r="R23">
        <v>4.9396019381014664E-3</v>
      </c>
      <c r="S23">
        <v>7.5167397955187053E-3</v>
      </c>
      <c r="T23">
        <v>2.9545301212138184E-3</v>
      </c>
      <c r="U23">
        <v>0</v>
      </c>
      <c r="V23">
        <v>0</v>
      </c>
      <c r="W23">
        <v>0</v>
      </c>
      <c r="X23">
        <v>0</v>
      </c>
      <c r="Y23">
        <v>0.4466677759560343</v>
      </c>
      <c r="Z23">
        <v>1.8192615890678308E-2</v>
      </c>
      <c r="AA23">
        <v>7.0419570312387316E-4</v>
      </c>
      <c r="AB23">
        <v>7.5102677399640485E-4</v>
      </c>
      <c r="AC23">
        <v>1.3403483858117455</v>
      </c>
      <c r="AD23">
        <v>4.3514281319225231E-2</v>
      </c>
      <c r="AE23" s="1"/>
    </row>
    <row r="24" spans="1:31" x14ac:dyDescent="0.2">
      <c r="A24" t="s">
        <v>3</v>
      </c>
      <c r="B24" s="2">
        <v>100</v>
      </c>
      <c r="C24">
        <v>1.5166666666666668</v>
      </c>
      <c r="D24">
        <v>2.5166114784235857E-2</v>
      </c>
      <c r="E24">
        <v>4.9400000000000004</v>
      </c>
      <c r="F24">
        <v>0.19078784028338916</v>
      </c>
      <c r="G24">
        <v>26.218564325933333</v>
      </c>
      <c r="H24">
        <v>1.4857094010694336</v>
      </c>
      <c r="I24">
        <v>5.524064645657937</v>
      </c>
      <c r="J24">
        <v>0.13562841631861189</v>
      </c>
      <c r="K24">
        <v>0.79629413633333324</v>
      </c>
      <c r="L24">
        <v>0.10155247296774157</v>
      </c>
      <c r="M24">
        <v>3.0431311999999999E-2</v>
      </c>
      <c r="N24">
        <v>2.7237493536338845E-3</v>
      </c>
      <c r="O24">
        <v>6.7479354333333338E-2</v>
      </c>
      <c r="P24">
        <v>8.010460385096561E-3</v>
      </c>
      <c r="Q24">
        <v>0.136368456</v>
      </c>
      <c r="R24">
        <v>2.0602638309814986E-2</v>
      </c>
      <c r="S24">
        <v>7.9020360333333331E-2</v>
      </c>
      <c r="T24">
        <v>9.4751133096942618E-3</v>
      </c>
      <c r="U24">
        <v>0</v>
      </c>
      <c r="V24">
        <v>0</v>
      </c>
      <c r="W24">
        <v>2.0968350333333333E-2</v>
      </c>
      <c r="X24">
        <v>2.9687636825049481E-3</v>
      </c>
      <c r="Y24">
        <v>0.66463201533333338</v>
      </c>
      <c r="Z24">
        <v>8.1167563931720005E-2</v>
      </c>
      <c r="AA24">
        <v>2.0239592666666667E-2</v>
      </c>
      <c r="AB24">
        <v>5.6250901233137855E-3</v>
      </c>
      <c r="AC24">
        <v>2.0178708036666664</v>
      </c>
      <c r="AD24">
        <v>0.16860058445075529</v>
      </c>
      <c r="AE24" s="1"/>
    </row>
    <row r="25" spans="1:31" x14ac:dyDescent="0.2">
      <c r="A25" t="s">
        <v>3</v>
      </c>
      <c r="B25" s="2">
        <v>117</v>
      </c>
      <c r="C25">
        <v>1.5066666666666666</v>
      </c>
      <c r="D25">
        <v>1.1547005383792525E-2</v>
      </c>
      <c r="E25">
        <v>4.5266666666666664</v>
      </c>
      <c r="F25">
        <v>0.13613718571108072</v>
      </c>
      <c r="G25">
        <v>30.623273733333331</v>
      </c>
      <c r="H25">
        <v>2.9727108509412599</v>
      </c>
      <c r="I25">
        <v>5.4013470403333335</v>
      </c>
      <c r="J25">
        <v>8.1960156544461121E-2</v>
      </c>
      <c r="K25">
        <v>0.57019773195923917</v>
      </c>
      <c r="L25">
        <v>2.2175895896404656E-2</v>
      </c>
      <c r="M25">
        <v>0</v>
      </c>
      <c r="N25">
        <v>0</v>
      </c>
      <c r="O25">
        <v>1.7874728276486933E-2</v>
      </c>
      <c r="P25">
        <v>1.5520002946102351E-3</v>
      </c>
      <c r="Q25">
        <v>7.3868960382522122E-2</v>
      </c>
      <c r="R25">
        <v>2.6909562124788899E-3</v>
      </c>
      <c r="S25">
        <v>3.8822777925741035E-2</v>
      </c>
      <c r="T25">
        <v>5.6253092843709359E-3</v>
      </c>
      <c r="U25">
        <v>1.3152771619263443E-4</v>
      </c>
      <c r="V25">
        <v>2.2781268704914257E-4</v>
      </c>
      <c r="W25">
        <v>0</v>
      </c>
      <c r="X25">
        <v>0</v>
      </c>
      <c r="Y25">
        <v>0.51532840163976379</v>
      </c>
      <c r="Z25">
        <v>2.7299846087474836E-2</v>
      </c>
      <c r="AA25">
        <v>1.5177672821783865E-2</v>
      </c>
      <c r="AB25">
        <v>2.4068389791725591E-3</v>
      </c>
      <c r="AC25">
        <v>1.9069324943313541</v>
      </c>
      <c r="AD25">
        <v>3.4402683573449014E-2</v>
      </c>
      <c r="AE25" s="1"/>
    </row>
    <row r="26" spans="1:31" x14ac:dyDescent="0.2">
      <c r="A26" t="s">
        <v>3</v>
      </c>
      <c r="B26" s="2">
        <v>142</v>
      </c>
      <c r="C26">
        <v>1.4966666666666668</v>
      </c>
      <c r="D26">
        <v>4.5092497528228984E-2</v>
      </c>
      <c r="E26">
        <v>4.7666666666666666</v>
      </c>
      <c r="F26">
        <v>0.18475208614068042</v>
      </c>
      <c r="G26">
        <v>30.030919086266664</v>
      </c>
      <c r="H26">
        <v>1.1724148080999146</v>
      </c>
      <c r="I26">
        <v>4.4848757112908055</v>
      </c>
      <c r="J26">
        <v>4.4188897369558104E-2</v>
      </c>
      <c r="K26">
        <v>0.80925893666666671</v>
      </c>
      <c r="L26">
        <v>0.12588744387209169</v>
      </c>
      <c r="M26">
        <v>5.7153014000000002E-2</v>
      </c>
      <c r="N26">
        <v>4.5956583156332434E-3</v>
      </c>
      <c r="O26">
        <v>7.9882584666666673E-2</v>
      </c>
      <c r="P26">
        <v>1.2614974234944756E-2</v>
      </c>
      <c r="Q26">
        <v>0.13834988133333334</v>
      </c>
      <c r="R26">
        <v>2.1496749211116502E-2</v>
      </c>
      <c r="S26">
        <v>0.10914492966666667</v>
      </c>
      <c r="T26">
        <v>1.7340277692574121E-2</v>
      </c>
      <c r="U26">
        <v>6.174666666666667E-5</v>
      </c>
      <c r="V26">
        <v>1.0694836386468627E-4</v>
      </c>
      <c r="W26">
        <v>2.1099786999999998E-2</v>
      </c>
      <c r="X26">
        <v>3.1035426668339842E-3</v>
      </c>
      <c r="Y26">
        <v>0.65786228466666674</v>
      </c>
      <c r="Z26">
        <v>8.7000110349447171E-2</v>
      </c>
      <c r="AA26">
        <v>3.7080848333333333E-2</v>
      </c>
      <c r="AB26">
        <v>6.5388312568440861E-3</v>
      </c>
      <c r="AC26">
        <v>2.4589500980000003</v>
      </c>
      <c r="AD26">
        <v>0.2645369616308812</v>
      </c>
      <c r="AE26" s="1"/>
    </row>
    <row r="27" spans="1:31" x14ac:dyDescent="0.2">
      <c r="A27" t="s">
        <v>3</v>
      </c>
      <c r="B27" s="2">
        <v>168</v>
      </c>
      <c r="C27">
        <v>1.46</v>
      </c>
      <c r="D27">
        <v>1.0000000000000009E-2</v>
      </c>
      <c r="E27">
        <v>4.8266666666666671</v>
      </c>
      <c r="F27">
        <v>0.25482019804821854</v>
      </c>
      <c r="G27">
        <v>31.567992115333329</v>
      </c>
      <c r="H27">
        <v>0.37077494258098725</v>
      </c>
      <c r="I27">
        <v>4.0933302275021353</v>
      </c>
      <c r="J27">
        <v>9.83741840184085E-2</v>
      </c>
      <c r="K27">
        <v>0.73171524399999999</v>
      </c>
      <c r="L27">
        <v>4.8257469479127041E-2</v>
      </c>
      <c r="M27">
        <v>4.3066234000000002E-2</v>
      </c>
      <c r="N27">
        <v>6.8299715916384611E-3</v>
      </c>
      <c r="O27">
        <v>7.5586523666666669E-2</v>
      </c>
      <c r="P27">
        <v>8.852749790766723E-3</v>
      </c>
      <c r="Q27">
        <v>0.13372585033333334</v>
      </c>
      <c r="R27">
        <v>1.4110075661057256E-2</v>
      </c>
      <c r="S27">
        <v>0.10524985033333334</v>
      </c>
      <c r="T27">
        <v>1.3392909274377956E-2</v>
      </c>
      <c r="U27">
        <v>8.1160000000000002E-5</v>
      </c>
      <c r="V27">
        <v>1.4057324354229005E-4</v>
      </c>
      <c r="W27">
        <v>2.2005235666666664E-2</v>
      </c>
      <c r="X27">
        <v>2.6413261221366305E-3</v>
      </c>
      <c r="Y27">
        <v>0.62218031733333345</v>
      </c>
      <c r="Z27">
        <v>6.2785359375555821E-2</v>
      </c>
      <c r="AA27">
        <v>3.7198047333333331E-2</v>
      </c>
      <c r="AB27">
        <v>8.8166484967421993E-3</v>
      </c>
      <c r="AC27">
        <v>2.4540769233333335</v>
      </c>
      <c r="AD27">
        <v>0.2358891353905074</v>
      </c>
      <c r="AE27" s="1"/>
    </row>
    <row r="28" spans="1:31" x14ac:dyDescent="0.2">
      <c r="A28" t="s">
        <v>3</v>
      </c>
      <c r="B28" s="2">
        <v>190</v>
      </c>
      <c r="C28">
        <v>1.4333333333333333</v>
      </c>
      <c r="D28">
        <v>1.527525231651948E-2</v>
      </c>
      <c r="E28">
        <v>4.7133333333333338</v>
      </c>
      <c r="F28">
        <v>0.25006665778014742</v>
      </c>
      <c r="G28">
        <v>33.327553748933333</v>
      </c>
      <c r="H28">
        <v>0.63735908587337542</v>
      </c>
      <c r="I28">
        <v>3.8624449546881414</v>
      </c>
      <c r="J28">
        <v>0.10922802941272078</v>
      </c>
      <c r="K28">
        <v>0.77201311166666675</v>
      </c>
      <c r="L28">
        <v>2.3710730630819507E-2</v>
      </c>
      <c r="M28">
        <v>5.4132958666666668E-2</v>
      </c>
      <c r="N28">
        <v>9.8458208579797705E-3</v>
      </c>
      <c r="O28">
        <v>8.3183882666666667E-2</v>
      </c>
      <c r="P28">
        <v>3.9792601161142121E-3</v>
      </c>
      <c r="Q28">
        <v>0.14912593066666668</v>
      </c>
      <c r="R28">
        <v>8.0779327305268139E-3</v>
      </c>
      <c r="S28">
        <v>0.11575525600000001</v>
      </c>
      <c r="T28">
        <v>5.861438393185329E-3</v>
      </c>
      <c r="U28">
        <v>1.4273399999999999E-4</v>
      </c>
      <c r="V28">
        <v>2.4722253996753614E-4</v>
      </c>
      <c r="W28">
        <v>2.4559769333333332E-2</v>
      </c>
      <c r="X28">
        <v>2.3106636982116926E-3</v>
      </c>
      <c r="Y28">
        <v>0.66829187366666665</v>
      </c>
      <c r="Z28">
        <v>2.8903363357487992E-2</v>
      </c>
      <c r="AA28">
        <v>4.5192264000000003E-2</v>
      </c>
      <c r="AB28">
        <v>4.2768931162493395E-3</v>
      </c>
      <c r="AC28">
        <v>2.6501212373333334</v>
      </c>
      <c r="AD28">
        <v>0.11670033822303127</v>
      </c>
      <c r="AE28" s="1"/>
    </row>
    <row r="29" spans="1:31" x14ac:dyDescent="0.2">
      <c r="A29" t="s">
        <v>3</v>
      </c>
      <c r="B29" s="2">
        <v>240</v>
      </c>
      <c r="C29">
        <v>1.3066666666666666</v>
      </c>
      <c r="D29">
        <v>2.5166114784235857E-2</v>
      </c>
      <c r="E29" t="s">
        <v>2</v>
      </c>
      <c r="F29" t="s">
        <v>2</v>
      </c>
      <c r="G29">
        <v>47.002606666666658</v>
      </c>
      <c r="H29">
        <v>2.1597422898654668</v>
      </c>
      <c r="I29">
        <v>3.4232249620090287</v>
      </c>
      <c r="J29">
        <v>0.24427432687834094</v>
      </c>
      <c r="K29">
        <v>0.80832519533333336</v>
      </c>
      <c r="L29">
        <v>7.0299122699486433E-2</v>
      </c>
      <c r="M29">
        <v>5.3089077000000005E-2</v>
      </c>
      <c r="N29">
        <v>5.1601883214391518E-3</v>
      </c>
      <c r="O29">
        <v>8.357523733333333E-2</v>
      </c>
      <c r="P29">
        <v>8.5104173798275212E-3</v>
      </c>
      <c r="Q29">
        <v>0.15749789066666667</v>
      </c>
      <c r="R29">
        <v>9.1040972550628218E-3</v>
      </c>
      <c r="S29">
        <v>0.12363224333333334</v>
      </c>
      <c r="T29">
        <v>1.0664850656479178E-2</v>
      </c>
      <c r="U29">
        <v>1.2038856666666666E-3</v>
      </c>
      <c r="V29">
        <v>3.1543959310355025E-4</v>
      </c>
      <c r="W29">
        <v>2.4476765333333334E-2</v>
      </c>
      <c r="X29">
        <v>2.9142713951340097E-3</v>
      </c>
      <c r="Y29">
        <v>0.67592759366666666</v>
      </c>
      <c r="Z29">
        <v>4.3050669126205587E-2</v>
      </c>
      <c r="AA29">
        <v>4.9211695333333333E-2</v>
      </c>
      <c r="AB29">
        <v>5.6984723977448843E-3</v>
      </c>
      <c r="AC29">
        <v>2.691971315</v>
      </c>
      <c r="AD29">
        <v>0.1689968596699532</v>
      </c>
      <c r="AE29" s="1"/>
    </row>
    <row r="30" spans="1:31" x14ac:dyDescent="0.2">
      <c r="A30" t="s">
        <v>4</v>
      </c>
      <c r="B30" s="2">
        <v>0</v>
      </c>
      <c r="C30">
        <v>2E-3</v>
      </c>
      <c r="D30">
        <v>2.6457513110645908E-3</v>
      </c>
      <c r="E30">
        <v>0.64</v>
      </c>
      <c r="F30">
        <v>0</v>
      </c>
      <c r="G30">
        <v>3.4326761960000005</v>
      </c>
      <c r="H30">
        <v>0.11007121592149469</v>
      </c>
      <c r="I30">
        <v>0</v>
      </c>
      <c r="J30">
        <v>0</v>
      </c>
      <c r="K30">
        <v>9.4590474505009004E-3</v>
      </c>
      <c r="L30">
        <v>1.6383550775472416E-2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1" x14ac:dyDescent="0.2">
      <c r="A31" t="s">
        <v>4</v>
      </c>
      <c r="B31" s="2">
        <v>21</v>
      </c>
      <c r="C31">
        <v>3.7666666666666661E-2</v>
      </c>
      <c r="D31">
        <v>6.0277137733417063E-3</v>
      </c>
      <c r="E31">
        <v>0.83333333333333337</v>
      </c>
      <c r="F31">
        <v>7.023769168568493E-2</v>
      </c>
      <c r="G31">
        <v>4.9832387766666661</v>
      </c>
      <c r="H31">
        <v>0.26503002485097582</v>
      </c>
      <c r="I31">
        <v>0</v>
      </c>
      <c r="J31">
        <v>0</v>
      </c>
      <c r="K31">
        <v>1.2201334655692864E-2</v>
      </c>
      <c r="L31">
        <v>7.7115818010389621E-3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1" x14ac:dyDescent="0.2">
      <c r="A32" t="s">
        <v>4</v>
      </c>
      <c r="B32" s="2">
        <v>28</v>
      </c>
      <c r="C32">
        <v>5.4999999999999993E-2</v>
      </c>
      <c r="D32">
        <v>6.9999999999999993E-3</v>
      </c>
      <c r="E32">
        <v>0.51333333333333331</v>
      </c>
      <c r="F32">
        <v>0.10066445913694358</v>
      </c>
      <c r="G32">
        <v>5.9184612319999994</v>
      </c>
      <c r="H32">
        <v>0.33977679029760433</v>
      </c>
      <c r="I32">
        <v>0</v>
      </c>
      <c r="J32">
        <v>0</v>
      </c>
      <c r="K32">
        <v>0.13885778352649994</v>
      </c>
      <c r="L32">
        <v>3.1436754935770056E-2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1" x14ac:dyDescent="0.2">
      <c r="A33" t="s">
        <v>4</v>
      </c>
      <c r="B33" s="2">
        <v>45</v>
      </c>
      <c r="C33">
        <v>0.13666666666666669</v>
      </c>
      <c r="D33">
        <v>5.7735026918962632E-3</v>
      </c>
      <c r="E33">
        <v>0.25333333333333335</v>
      </c>
      <c r="F33">
        <v>0.10263202878893758</v>
      </c>
      <c r="G33">
        <v>8.2926925219999994</v>
      </c>
      <c r="H33">
        <v>0.88323671489993227</v>
      </c>
      <c r="I33">
        <v>0</v>
      </c>
      <c r="J33">
        <v>0</v>
      </c>
      <c r="K33">
        <v>4.9278788344613272E-2</v>
      </c>
      <c r="L33">
        <v>6.5241747700241576E-2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1" x14ac:dyDescent="0.2">
      <c r="A34" t="s">
        <v>4</v>
      </c>
      <c r="B34" s="2">
        <v>52</v>
      </c>
      <c r="C34">
        <v>0.21</v>
      </c>
      <c r="D34">
        <v>7.8102496759066595E-2</v>
      </c>
      <c r="E34">
        <v>0.29333333333333328</v>
      </c>
      <c r="F34">
        <v>0.16289055630494162</v>
      </c>
      <c r="G34">
        <v>11.554244199533334</v>
      </c>
      <c r="H34">
        <v>1.9624112404844287</v>
      </c>
      <c r="I34">
        <v>0</v>
      </c>
      <c r="J34">
        <v>0</v>
      </c>
      <c r="K34">
        <v>0.29467862836851816</v>
      </c>
      <c r="L34">
        <v>5.2871602200929062E-2</v>
      </c>
      <c r="M34">
        <v>0</v>
      </c>
      <c r="N34">
        <v>0</v>
      </c>
      <c r="O34">
        <v>4.2821199696236973E-3</v>
      </c>
      <c r="P34">
        <v>7.4168493514935405E-3</v>
      </c>
      <c r="Q34">
        <v>0</v>
      </c>
      <c r="R34">
        <v>0</v>
      </c>
      <c r="S34">
        <v>9.9083744548918379E-4</v>
      </c>
      <c r="T34">
        <v>1.7161807976290241E-3</v>
      </c>
      <c r="U34">
        <v>0</v>
      </c>
      <c r="V34">
        <v>0</v>
      </c>
      <c r="W34">
        <v>0</v>
      </c>
      <c r="X34">
        <v>0</v>
      </c>
      <c r="Y34">
        <v>3.7870275578286415E-3</v>
      </c>
      <c r="Z34">
        <v>5.9203776060897254E-3</v>
      </c>
      <c r="AA34">
        <v>0</v>
      </c>
      <c r="AB34">
        <v>0</v>
      </c>
      <c r="AC34">
        <v>0</v>
      </c>
      <c r="AD34">
        <v>0</v>
      </c>
    </row>
    <row r="35" spans="1:31" x14ac:dyDescent="0.2">
      <c r="A35" t="s">
        <v>4</v>
      </c>
      <c r="B35" s="2">
        <v>69</v>
      </c>
      <c r="C35">
        <v>0.8666666666666667</v>
      </c>
      <c r="D35">
        <v>0.21939310229205786</v>
      </c>
      <c r="E35">
        <v>1.3800000000000001</v>
      </c>
      <c r="F35">
        <v>0.45077710678338462</v>
      </c>
      <c r="G35">
        <v>26.511250199999996</v>
      </c>
      <c r="H35">
        <v>5.0079249468644571</v>
      </c>
      <c r="I35">
        <v>0</v>
      </c>
      <c r="J35">
        <v>0</v>
      </c>
      <c r="K35">
        <v>0.23271936604665563</v>
      </c>
      <c r="L35">
        <v>2.6841117983416696E-2</v>
      </c>
      <c r="M35">
        <v>0</v>
      </c>
      <c r="N35">
        <v>0</v>
      </c>
      <c r="O35">
        <v>3.791726442460381E-2</v>
      </c>
      <c r="P35">
        <v>2.8810168569721066E-2</v>
      </c>
      <c r="Q35">
        <v>0</v>
      </c>
      <c r="R35">
        <v>0</v>
      </c>
      <c r="S35">
        <v>0.10112034336223723</v>
      </c>
      <c r="T35">
        <v>6.4043869883751076E-2</v>
      </c>
      <c r="U35">
        <v>2.1939607060333169E-2</v>
      </c>
      <c r="V35">
        <v>9.0210986503731945E-3</v>
      </c>
      <c r="W35">
        <v>0</v>
      </c>
      <c r="X35">
        <v>0</v>
      </c>
      <c r="Y35">
        <v>4.0088420797301072E-2</v>
      </c>
      <c r="Z35">
        <v>1.7601310005385881E-2</v>
      </c>
      <c r="AA35">
        <v>2.8859675136784831E-2</v>
      </c>
      <c r="AB35">
        <v>2.5595750945785426E-2</v>
      </c>
      <c r="AC35">
        <v>0</v>
      </c>
      <c r="AD35">
        <v>0</v>
      </c>
    </row>
    <row r="36" spans="1:31" x14ac:dyDescent="0.2">
      <c r="A36" t="s">
        <v>4</v>
      </c>
      <c r="B36" s="2">
        <v>76</v>
      </c>
      <c r="C36">
        <v>1.2300000000000002</v>
      </c>
      <c r="D36">
        <v>0.2351595203260958</v>
      </c>
      <c r="E36">
        <v>1.64</v>
      </c>
      <c r="F36">
        <v>0.43312815655415404</v>
      </c>
      <c r="G36">
        <v>34.39819194533333</v>
      </c>
      <c r="H36">
        <v>4.3742458238514779</v>
      </c>
      <c r="I36">
        <v>0</v>
      </c>
      <c r="J36">
        <v>0</v>
      </c>
      <c r="K36">
        <v>0.47330599234073506</v>
      </c>
      <c r="L36">
        <v>3.4655650250128643E-2</v>
      </c>
      <c r="M36">
        <v>1.7870782823066991E-2</v>
      </c>
      <c r="N36">
        <v>1.3075834169611973E-2</v>
      </c>
      <c r="O36">
        <v>0.19232720785861449</v>
      </c>
      <c r="P36">
        <v>7.2519403633300117E-2</v>
      </c>
      <c r="Q36">
        <v>5.8746809591793271E-2</v>
      </c>
      <c r="R36">
        <v>2.0210319798027891E-2</v>
      </c>
      <c r="S36">
        <v>0.37468446181087173</v>
      </c>
      <c r="T36">
        <v>0.13116474606056766</v>
      </c>
      <c r="U36">
        <v>5.4335908287990148E-2</v>
      </c>
      <c r="V36">
        <v>2.2573793409802759E-2</v>
      </c>
      <c r="W36">
        <v>1.1008839286375392E-3</v>
      </c>
      <c r="X36">
        <v>1.9067868976362483E-3</v>
      </c>
      <c r="Y36">
        <v>0.11805056617589715</v>
      </c>
      <c r="Z36">
        <v>1.9548936761286592E-2</v>
      </c>
      <c r="AA36">
        <v>7.5252447105907852E-2</v>
      </c>
      <c r="AB36">
        <v>4.0006480748848029E-2</v>
      </c>
      <c r="AC36">
        <v>8.7856728595975001E-2</v>
      </c>
      <c r="AD36">
        <v>3.1508962037128926E-2</v>
      </c>
    </row>
    <row r="37" spans="1:31" x14ac:dyDescent="0.2">
      <c r="A37" t="s">
        <v>4</v>
      </c>
      <c r="B37" s="2">
        <v>92</v>
      </c>
      <c r="C37">
        <v>1.8066666666666666</v>
      </c>
      <c r="D37">
        <v>6.0277137733417134E-2</v>
      </c>
      <c r="E37">
        <v>2.4533333333333331</v>
      </c>
      <c r="F37">
        <v>0.31770006819850349</v>
      </c>
      <c r="G37">
        <v>51.476943078533331</v>
      </c>
      <c r="H37">
        <v>3.2131516104849971</v>
      </c>
      <c r="I37">
        <v>0</v>
      </c>
      <c r="J37">
        <v>0</v>
      </c>
      <c r="K37">
        <v>0.25235363355990126</v>
      </c>
      <c r="L37">
        <v>8.132843604663334E-2</v>
      </c>
      <c r="M37">
        <v>4.67211087986232E-2</v>
      </c>
      <c r="N37">
        <v>2.8226369501760731E-2</v>
      </c>
      <c r="O37">
        <v>0.24879904145485532</v>
      </c>
      <c r="P37">
        <v>7.7171981052818861E-2</v>
      </c>
      <c r="Q37">
        <v>6.5080199656292012E-2</v>
      </c>
      <c r="R37">
        <v>2.8940575321492201E-2</v>
      </c>
      <c r="S37">
        <v>0.47602461440344718</v>
      </c>
      <c r="T37">
        <v>9.8737024642212651E-2</v>
      </c>
      <c r="U37">
        <v>8.8524936153579412E-2</v>
      </c>
      <c r="V37">
        <v>1.8999137163264616E-2</v>
      </c>
      <c r="W37">
        <v>6.8296669833554967E-3</v>
      </c>
      <c r="X37">
        <v>1.0334483800911164E-2</v>
      </c>
      <c r="Y37">
        <v>7.2195234395427979E-2</v>
      </c>
      <c r="Z37">
        <v>8.8421183141555275E-3</v>
      </c>
      <c r="AA37">
        <v>6.7247752248293671E-2</v>
      </c>
      <c r="AB37">
        <v>6.1469237678024704E-3</v>
      </c>
      <c r="AC37">
        <v>0</v>
      </c>
      <c r="AD37">
        <v>0</v>
      </c>
    </row>
    <row r="38" spans="1:31" x14ac:dyDescent="0.2">
      <c r="A38" t="s">
        <v>4</v>
      </c>
      <c r="B38" s="2">
        <v>100</v>
      </c>
      <c r="C38">
        <v>1.9133333333333333</v>
      </c>
      <c r="D38">
        <v>3.5118845842842493E-2</v>
      </c>
      <c r="E38">
        <v>2.8400000000000003</v>
      </c>
      <c r="F38">
        <v>0.26457513110645903</v>
      </c>
      <c r="G38">
        <v>52.856159284399986</v>
      </c>
      <c r="H38">
        <v>2.4631167639052491</v>
      </c>
      <c r="I38">
        <v>0</v>
      </c>
      <c r="J38">
        <v>0</v>
      </c>
      <c r="K38">
        <v>0.64622140058038013</v>
      </c>
      <c r="L38">
        <v>0.11536327182789916</v>
      </c>
      <c r="M38">
        <v>0.19670618255195263</v>
      </c>
      <c r="N38">
        <v>4.694276279346777E-2</v>
      </c>
      <c r="O38">
        <v>0.56818463054969648</v>
      </c>
      <c r="P38">
        <v>5.0248910024147678E-2</v>
      </c>
      <c r="Q38">
        <v>0.20904959938967471</v>
      </c>
      <c r="R38">
        <v>2.5732565563991287E-2</v>
      </c>
      <c r="S38">
        <v>0.91055331154045094</v>
      </c>
      <c r="T38">
        <v>5.1018032614417966E-2</v>
      </c>
      <c r="U38">
        <v>0.14529819520509868</v>
      </c>
      <c r="V38">
        <v>1.3436530479630133E-2</v>
      </c>
      <c r="W38">
        <v>4.6838046188404613E-2</v>
      </c>
      <c r="X38">
        <v>1.2209699226670949E-2</v>
      </c>
      <c r="Y38">
        <v>0.11509067199614798</v>
      </c>
      <c r="Z38">
        <v>2.3560433797018308E-2</v>
      </c>
      <c r="AA38">
        <v>4.833241546459166E-2</v>
      </c>
      <c r="AB38">
        <v>3.2457590173480606E-2</v>
      </c>
      <c r="AC38">
        <v>7.7001090840024877E-2</v>
      </c>
      <c r="AD38">
        <v>2.6634219295208945E-2</v>
      </c>
    </row>
    <row r="39" spans="1:31" x14ac:dyDescent="0.2">
      <c r="A39" t="s">
        <v>4</v>
      </c>
      <c r="B39" s="2">
        <v>117</v>
      </c>
      <c r="C39">
        <v>1.7166666666666668</v>
      </c>
      <c r="D39">
        <v>8.0208062770106503E-2</v>
      </c>
      <c r="E39">
        <v>2.9933333333333336</v>
      </c>
      <c r="F39">
        <v>0.16041612554021301</v>
      </c>
      <c r="G39">
        <v>57.668908708999993</v>
      </c>
      <c r="H39">
        <v>1.5704597020432738</v>
      </c>
      <c r="I39">
        <v>0</v>
      </c>
      <c r="J39">
        <v>0</v>
      </c>
      <c r="K39">
        <v>0.76749859278476229</v>
      </c>
      <c r="L39">
        <v>9.6358366940838158E-2</v>
      </c>
      <c r="M39">
        <v>0.25334262977787964</v>
      </c>
      <c r="N39">
        <v>3.2733794778908656E-2</v>
      </c>
      <c r="O39">
        <v>0.4404600546548112</v>
      </c>
      <c r="P39">
        <v>3.0307538704249733E-2</v>
      </c>
      <c r="Q39">
        <v>0.14237135753335622</v>
      </c>
      <c r="R39">
        <v>9.4838381619418398E-3</v>
      </c>
      <c r="S39">
        <v>0.71380773703081957</v>
      </c>
      <c r="T39">
        <v>4.2568862059233437E-2</v>
      </c>
      <c r="U39">
        <v>7.1329412392124689E-2</v>
      </c>
      <c r="V39">
        <v>8.4186116261210694E-3</v>
      </c>
      <c r="W39">
        <v>5.1824648879618074E-2</v>
      </c>
      <c r="X39">
        <v>4.4998946939485114E-3</v>
      </c>
      <c r="Y39">
        <v>6.1771434400437267E-3</v>
      </c>
      <c r="Z39">
        <v>5.5743244701032691E-3</v>
      </c>
      <c r="AA39">
        <v>0</v>
      </c>
      <c r="AB39">
        <v>0</v>
      </c>
      <c r="AC39">
        <v>0</v>
      </c>
      <c r="AD39">
        <v>0</v>
      </c>
    </row>
    <row r="40" spans="1:31" x14ac:dyDescent="0.2">
      <c r="A40" t="s">
        <v>4</v>
      </c>
      <c r="B40" s="2">
        <v>142</v>
      </c>
      <c r="C40">
        <v>1.4799999999999998</v>
      </c>
      <c r="D40">
        <v>7.211102550927985E-2</v>
      </c>
      <c r="E40">
        <v>2.686666666666667</v>
      </c>
      <c r="F40">
        <v>7.5718777944003723E-2</v>
      </c>
      <c r="G40">
        <v>58.590576921133334</v>
      </c>
      <c r="H40">
        <v>0.9064570370930094</v>
      </c>
      <c r="I40">
        <v>0</v>
      </c>
      <c r="J40">
        <v>0</v>
      </c>
      <c r="K40">
        <v>1.352720988377655</v>
      </c>
      <c r="L40">
        <v>3.2082004470770635E-2</v>
      </c>
      <c r="M40">
        <v>0.47873684200443511</v>
      </c>
      <c r="N40">
        <v>2.1389724732171694E-2</v>
      </c>
      <c r="O40">
        <v>0.64951568822473371</v>
      </c>
      <c r="P40">
        <v>2.0478661897237668E-2</v>
      </c>
      <c r="Q40">
        <v>0.19654752239113935</v>
      </c>
      <c r="R40">
        <v>1.2564349718639156E-2</v>
      </c>
      <c r="S40">
        <v>1.0167106422714065</v>
      </c>
      <c r="T40">
        <v>2.7494997224086194E-2</v>
      </c>
      <c r="U40">
        <v>4.0708840094322692E-2</v>
      </c>
      <c r="V40">
        <v>3.4879580973670899E-3</v>
      </c>
      <c r="W40">
        <v>8.5246152610605766E-2</v>
      </c>
      <c r="X40">
        <v>4.5262744998771625E-3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1" x14ac:dyDescent="0.2">
      <c r="A41" t="s">
        <v>4</v>
      </c>
      <c r="B41" s="2">
        <v>168</v>
      </c>
      <c r="C41">
        <v>1.2166666666666666</v>
      </c>
      <c r="D41">
        <v>2.0816659994661344E-2</v>
      </c>
      <c r="E41">
        <v>2.6066666666666669</v>
      </c>
      <c r="F41">
        <v>8.0829037686547672E-2</v>
      </c>
      <c r="G41">
        <v>59.149283051333327</v>
      </c>
      <c r="H41">
        <v>0.56270113636834251</v>
      </c>
      <c r="I41">
        <v>0</v>
      </c>
      <c r="J41">
        <v>0</v>
      </c>
      <c r="K41">
        <v>1.4248768130726814</v>
      </c>
      <c r="L41">
        <v>8.0282718232166775E-2</v>
      </c>
      <c r="M41">
        <v>0.53333299483629748</v>
      </c>
      <c r="N41">
        <v>3.6990009721721472E-2</v>
      </c>
      <c r="O41">
        <v>0.66066800400939973</v>
      </c>
      <c r="P41">
        <v>4.1986435095393813E-2</v>
      </c>
      <c r="Q41">
        <v>0.19778706025146572</v>
      </c>
      <c r="R41">
        <v>2.1457571328450328E-2</v>
      </c>
      <c r="S41">
        <v>1.0339768703230423</v>
      </c>
      <c r="T41">
        <v>6.4633087376121917E-2</v>
      </c>
      <c r="U41">
        <v>3.5675182043450902E-2</v>
      </c>
      <c r="V41">
        <v>6.3115110300961249E-3</v>
      </c>
      <c r="W41">
        <v>8.4622012437644112E-2</v>
      </c>
      <c r="X41">
        <v>7.802618541938428E-3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1" x14ac:dyDescent="0.2">
      <c r="A42" t="s">
        <v>4</v>
      </c>
      <c r="B42" s="2">
        <v>190</v>
      </c>
      <c r="C42">
        <v>0.78333333333333321</v>
      </c>
      <c r="D42">
        <v>8.3864970836060843E-2</v>
      </c>
      <c r="E42">
        <v>2.4599999999999995</v>
      </c>
      <c r="F42">
        <v>9.1651513899116882E-2</v>
      </c>
      <c r="G42">
        <v>59.89256373953333</v>
      </c>
      <c r="H42">
        <v>0.54152311488829052</v>
      </c>
      <c r="I42">
        <v>0</v>
      </c>
      <c r="J42">
        <v>0</v>
      </c>
      <c r="K42">
        <v>1.2692105968856702</v>
      </c>
      <c r="L42">
        <v>0.10650783764609144</v>
      </c>
      <c r="M42">
        <v>0.49002014411490258</v>
      </c>
      <c r="N42">
        <v>3.6831545881120455E-2</v>
      </c>
      <c r="O42">
        <v>0.58875023819588979</v>
      </c>
      <c r="P42">
        <v>4.8853835744488407E-2</v>
      </c>
      <c r="Q42">
        <v>0.16903880396019214</v>
      </c>
      <c r="R42">
        <v>1.0010172311504421E-2</v>
      </c>
      <c r="S42">
        <v>0.92580494477969699</v>
      </c>
      <c r="T42">
        <v>7.808929452860508E-2</v>
      </c>
      <c r="U42">
        <v>2.6171259037839439E-2</v>
      </c>
      <c r="V42">
        <v>9.2859805964220729E-4</v>
      </c>
      <c r="W42">
        <v>7.5956387687948254E-2</v>
      </c>
      <c r="X42">
        <v>7.9552449910419779E-3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1" x14ac:dyDescent="0.2">
      <c r="A43" t="s">
        <v>4</v>
      </c>
      <c r="B43" s="2">
        <v>240</v>
      </c>
      <c r="C43">
        <v>0.2173333333333333</v>
      </c>
      <c r="D43">
        <v>3.2254198693090354E-2</v>
      </c>
      <c r="E43" t="s">
        <v>2</v>
      </c>
      <c r="F43" t="s">
        <v>2</v>
      </c>
      <c r="G43">
        <v>74.516139999999993</v>
      </c>
      <c r="H43">
        <v>2.9312313691859964</v>
      </c>
      <c r="I43">
        <v>0</v>
      </c>
      <c r="J43">
        <v>0</v>
      </c>
      <c r="K43">
        <v>1.2904567148036878</v>
      </c>
      <c r="L43">
        <v>7.8700107974862835E-2</v>
      </c>
      <c r="M43">
        <v>0.50755973676781019</v>
      </c>
      <c r="N43">
        <v>2.9935985777102332E-2</v>
      </c>
      <c r="O43">
        <v>0.60329833017297885</v>
      </c>
      <c r="P43">
        <v>3.8401626975540101E-2</v>
      </c>
      <c r="Q43">
        <v>0.16115473161693217</v>
      </c>
      <c r="R43">
        <v>1.4814631914970655E-2</v>
      </c>
      <c r="S43">
        <v>0.9340568161959707</v>
      </c>
      <c r="T43">
        <v>5.0288992625017841E-2</v>
      </c>
      <c r="U43">
        <v>2.853418273951425E-2</v>
      </c>
      <c r="V43">
        <v>3.8371688722450932E-3</v>
      </c>
      <c r="W43">
        <v>7.4837698417218351E-2</v>
      </c>
      <c r="X43">
        <v>1.7121727803621793E-3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1" x14ac:dyDescent="0.2">
      <c r="A44" t="s">
        <v>5</v>
      </c>
      <c r="B44" s="2">
        <v>0</v>
      </c>
      <c r="C44">
        <v>7.6666666666666662E-3</v>
      </c>
      <c r="D44">
        <v>5.773502691896258E-4</v>
      </c>
      <c r="E44">
        <v>0.6</v>
      </c>
      <c r="F44">
        <v>0</v>
      </c>
      <c r="G44">
        <v>2.4382095219999997</v>
      </c>
      <c r="H44">
        <v>0.35236392768376379</v>
      </c>
      <c r="I44">
        <v>5.8016897083333339</v>
      </c>
      <c r="J44">
        <v>9.8689110533728891E-2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s="1"/>
    </row>
    <row r="45" spans="1:31" x14ac:dyDescent="0.2">
      <c r="A45" t="s">
        <v>5</v>
      </c>
      <c r="B45" s="2">
        <v>21</v>
      </c>
      <c r="C45">
        <v>0.12733333333333333</v>
      </c>
      <c r="D45">
        <v>3.5118845842842458E-2</v>
      </c>
      <c r="E45">
        <v>1.28</v>
      </c>
      <c r="F45">
        <v>0.10392304845413274</v>
      </c>
      <c r="G45">
        <v>4.1786463726666661</v>
      </c>
      <c r="H45">
        <v>0.32451424831446801</v>
      </c>
      <c r="I45">
        <v>5.6475599669999994</v>
      </c>
      <c r="J45">
        <v>0.10903888901621055</v>
      </c>
      <c r="K45">
        <v>0.10279340803777559</v>
      </c>
      <c r="L45">
        <v>5.3544272538133708E-2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3.433710338060472E-3</v>
      </c>
      <c r="Z45">
        <v>3.7070019645868654E-3</v>
      </c>
      <c r="AA45">
        <v>0</v>
      </c>
      <c r="AB45">
        <v>0</v>
      </c>
      <c r="AC45">
        <v>0</v>
      </c>
      <c r="AD45">
        <v>0</v>
      </c>
      <c r="AE45" s="1"/>
    </row>
    <row r="46" spans="1:31" x14ac:dyDescent="0.2">
      <c r="A46" t="s">
        <v>5</v>
      </c>
      <c r="B46" s="2">
        <v>28</v>
      </c>
      <c r="C46">
        <v>0.32933333333333331</v>
      </c>
      <c r="D46">
        <v>0.12401747188736484</v>
      </c>
      <c r="E46">
        <v>1.8800000000000001</v>
      </c>
      <c r="F46">
        <v>0.32924155266308464</v>
      </c>
      <c r="G46">
        <v>9.4521160208333352</v>
      </c>
      <c r="H46">
        <v>1.849778672107838</v>
      </c>
      <c r="I46">
        <v>4.8020290926193434</v>
      </c>
      <c r="J46">
        <v>0.18477422823189374</v>
      </c>
      <c r="K46">
        <v>0.3914853333333333</v>
      </c>
      <c r="L46">
        <v>0.16216206784058157</v>
      </c>
      <c r="M46">
        <v>0</v>
      </c>
      <c r="N46">
        <v>0</v>
      </c>
      <c r="O46">
        <v>4.2255309999999997E-2</v>
      </c>
      <c r="P46">
        <v>7.1128226511563697E-3</v>
      </c>
      <c r="Q46">
        <v>3.7678733999999998E-2</v>
      </c>
      <c r="R46">
        <v>7.0873136144551027E-3</v>
      </c>
      <c r="S46">
        <v>1.5177165666666667E-2</v>
      </c>
      <c r="T46">
        <v>4.9230643940956342E-3</v>
      </c>
      <c r="U46">
        <v>0</v>
      </c>
      <c r="V46">
        <v>0</v>
      </c>
      <c r="W46">
        <v>0</v>
      </c>
      <c r="X46">
        <v>0</v>
      </c>
      <c r="Y46">
        <v>8.4257029333333344E-2</v>
      </c>
      <c r="Z46">
        <v>1.817555746541847E-2</v>
      </c>
      <c r="AA46">
        <v>4.4027214333333342E-2</v>
      </c>
      <c r="AB46">
        <v>2.0733318439420344E-2</v>
      </c>
      <c r="AC46">
        <v>5.2766663333333332E-2</v>
      </c>
      <c r="AD46">
        <v>3.3670894206796358E-2</v>
      </c>
      <c r="AE46" s="1"/>
    </row>
    <row r="47" spans="1:31" x14ac:dyDescent="0.2">
      <c r="A47" t="s">
        <v>5</v>
      </c>
      <c r="B47" s="2">
        <v>45</v>
      </c>
      <c r="C47">
        <v>1.1600000000000001</v>
      </c>
      <c r="D47">
        <v>0.17088007490634902</v>
      </c>
      <c r="E47">
        <v>3.68</v>
      </c>
      <c r="F47">
        <v>0.47999999999999948</v>
      </c>
      <c r="G47">
        <v>16.447344959999999</v>
      </c>
      <c r="H47">
        <v>1.5943690158461461</v>
      </c>
      <c r="I47">
        <v>3.3793335693333333</v>
      </c>
      <c r="J47">
        <v>0.84628866947645509</v>
      </c>
      <c r="K47">
        <v>0.96517889894654141</v>
      </c>
      <c r="L47">
        <v>0.54225557491012899</v>
      </c>
      <c r="M47">
        <v>0</v>
      </c>
      <c r="N47">
        <v>0</v>
      </c>
      <c r="O47">
        <v>5.2509919844889522E-3</v>
      </c>
      <c r="P47">
        <v>5.2147793082457118E-4</v>
      </c>
      <c r="Q47">
        <v>7.6172160499622346E-2</v>
      </c>
      <c r="R47">
        <v>2.2978017169440552E-2</v>
      </c>
      <c r="S47">
        <v>2.6292465255087828E-3</v>
      </c>
      <c r="T47">
        <v>4.553988567805152E-3</v>
      </c>
      <c r="U47">
        <v>0</v>
      </c>
      <c r="V47">
        <v>0</v>
      </c>
      <c r="W47">
        <v>0</v>
      </c>
      <c r="X47">
        <v>0</v>
      </c>
      <c r="Y47">
        <v>0.2169043440991297</v>
      </c>
      <c r="Z47">
        <v>2.547222582336146E-2</v>
      </c>
      <c r="AA47">
        <v>0</v>
      </c>
      <c r="AB47">
        <v>0</v>
      </c>
      <c r="AC47">
        <v>5.6948376329426342E-2</v>
      </c>
      <c r="AD47">
        <v>5.4267390414378607E-2</v>
      </c>
      <c r="AE47" s="1"/>
    </row>
    <row r="48" spans="1:31" x14ac:dyDescent="0.2">
      <c r="A48" t="s">
        <v>5</v>
      </c>
      <c r="B48" s="2">
        <v>52</v>
      </c>
      <c r="C48">
        <v>1.5166666666666666</v>
      </c>
      <c r="D48">
        <v>0.10263202878893765</v>
      </c>
      <c r="E48">
        <v>4.5533333333333337</v>
      </c>
      <c r="F48">
        <v>0.32083225108042601</v>
      </c>
      <c r="G48">
        <v>24.501922208333337</v>
      </c>
      <c r="H48">
        <v>3.8586761560017875</v>
      </c>
      <c r="I48">
        <v>2.3760764157176291</v>
      </c>
      <c r="J48">
        <v>0.43050220187201355</v>
      </c>
      <c r="K48">
        <v>1.1840842173333332</v>
      </c>
      <c r="L48">
        <v>0.47136248719654672</v>
      </c>
      <c r="M48">
        <v>0</v>
      </c>
      <c r="N48">
        <v>0</v>
      </c>
      <c r="O48">
        <v>8.532244533333333E-2</v>
      </c>
      <c r="P48">
        <v>3.275205798345246E-3</v>
      </c>
      <c r="Q48">
        <v>0.18854812933333331</v>
      </c>
      <c r="R48">
        <v>3.4456642180619224E-2</v>
      </c>
      <c r="S48">
        <v>9.4374773666666648E-2</v>
      </c>
      <c r="T48">
        <v>2.4717878822487094E-2</v>
      </c>
      <c r="U48">
        <v>0</v>
      </c>
      <c r="V48">
        <v>0</v>
      </c>
      <c r="W48">
        <v>0</v>
      </c>
      <c r="X48">
        <v>0</v>
      </c>
      <c r="Y48">
        <v>0.44014383433333332</v>
      </c>
      <c r="Z48">
        <v>9.5723339870365229E-2</v>
      </c>
      <c r="AA48">
        <v>3.3753261999999999E-2</v>
      </c>
      <c r="AB48">
        <v>6.7989686140684721E-3</v>
      </c>
      <c r="AC48">
        <v>0.33887663600000001</v>
      </c>
      <c r="AD48">
        <v>9.1544746145037603E-2</v>
      </c>
      <c r="AE48" s="1"/>
    </row>
    <row r="49" spans="1:31" x14ac:dyDescent="0.2">
      <c r="A49" t="s">
        <v>5</v>
      </c>
      <c r="B49" s="2">
        <v>69</v>
      </c>
      <c r="C49">
        <v>2.0900000000000003</v>
      </c>
      <c r="D49">
        <v>0.27622454633866073</v>
      </c>
      <c r="E49">
        <v>5.7333333333333334</v>
      </c>
      <c r="F49">
        <v>0.21385353243127253</v>
      </c>
      <c r="G49">
        <v>35.366824993333331</v>
      </c>
      <c r="H49">
        <v>3.1701996794607648</v>
      </c>
      <c r="I49">
        <v>1.3061325769999999</v>
      </c>
      <c r="J49">
        <v>0.12025248692005047</v>
      </c>
      <c r="K49">
        <v>1.0863198981539031</v>
      </c>
      <c r="L49">
        <v>0.12921726850344867</v>
      </c>
      <c r="M49">
        <v>0</v>
      </c>
      <c r="N49">
        <v>0</v>
      </c>
      <c r="O49">
        <v>4.3283662784917874E-2</v>
      </c>
      <c r="P49">
        <v>6.2975536388215243E-3</v>
      </c>
      <c r="Q49">
        <v>0.26056493147532372</v>
      </c>
      <c r="R49">
        <v>1.9496286536877065E-2</v>
      </c>
      <c r="S49">
        <v>0.15470896889702812</v>
      </c>
      <c r="T49">
        <v>2.5895775792357668E-2</v>
      </c>
      <c r="U49">
        <v>1.9662402401793472E-2</v>
      </c>
      <c r="V49">
        <v>1.8264984083007083E-3</v>
      </c>
      <c r="W49">
        <v>4.7742624689909685E-4</v>
      </c>
      <c r="X49">
        <v>8.2692651649615885E-4</v>
      </c>
      <c r="Y49">
        <v>0.60508113342790215</v>
      </c>
      <c r="Z49">
        <v>7.3991544491608011E-2</v>
      </c>
      <c r="AA49">
        <v>2.8257597453233318E-2</v>
      </c>
      <c r="AB49">
        <v>1.945341745868669E-2</v>
      </c>
      <c r="AC49">
        <v>0.60861680454039835</v>
      </c>
      <c r="AD49">
        <v>2.6402550593547156E-2</v>
      </c>
      <c r="AE49" s="1"/>
    </row>
    <row r="50" spans="1:31" x14ac:dyDescent="0.2">
      <c r="A50" t="s">
        <v>5</v>
      </c>
      <c r="B50" s="2">
        <v>76</v>
      </c>
      <c r="C50">
        <v>2.2066666666666666</v>
      </c>
      <c r="D50">
        <v>0.28988503468329008</v>
      </c>
      <c r="E50">
        <v>5.833333333333333</v>
      </c>
      <c r="F50">
        <v>0.37753587026047392</v>
      </c>
      <c r="G50">
        <v>39.369359937500001</v>
      </c>
      <c r="H50">
        <v>2.220018818642759</v>
      </c>
      <c r="I50">
        <v>1.0102910381742645</v>
      </c>
      <c r="J50">
        <v>0.11172573042107471</v>
      </c>
      <c r="K50">
        <v>1.1755163396666666</v>
      </c>
      <c r="L50">
        <v>0.11556186093730265</v>
      </c>
      <c r="M50">
        <v>0</v>
      </c>
      <c r="N50">
        <v>0</v>
      </c>
      <c r="O50">
        <v>0.14395105133333333</v>
      </c>
      <c r="P50">
        <v>6.2451907722562193E-3</v>
      </c>
      <c r="Q50">
        <v>0.34670089733333337</v>
      </c>
      <c r="R50">
        <v>3.1298208414612866E-2</v>
      </c>
      <c r="S50">
        <v>0.32388114666666667</v>
      </c>
      <c r="T50">
        <v>1.5896778703066574E-2</v>
      </c>
      <c r="U50">
        <v>1.4846937999999999E-2</v>
      </c>
      <c r="V50">
        <v>1.8951873389390821E-3</v>
      </c>
      <c r="W50">
        <v>1.9491266666666668E-3</v>
      </c>
      <c r="X50">
        <v>3.3759864170540342E-3</v>
      </c>
      <c r="Y50">
        <v>0.92895112800000001</v>
      </c>
      <c r="Z50">
        <v>3.5137974841575402E-2</v>
      </c>
      <c r="AA50">
        <v>0.10595486666666666</v>
      </c>
      <c r="AB50">
        <v>1.046314990257448E-2</v>
      </c>
      <c r="AC50">
        <v>1.0537829340000002</v>
      </c>
      <c r="AD50">
        <v>7.8337881999938283E-2</v>
      </c>
      <c r="AE50" s="1"/>
    </row>
    <row r="51" spans="1:31" x14ac:dyDescent="0.2">
      <c r="A51" t="s">
        <v>5</v>
      </c>
      <c r="B51" s="2">
        <v>92</v>
      </c>
      <c r="C51">
        <v>2.1466666666666665</v>
      </c>
      <c r="D51">
        <v>0.23860706890897701</v>
      </c>
      <c r="E51">
        <v>5.666666666666667</v>
      </c>
      <c r="F51">
        <v>0.45003703551300439</v>
      </c>
      <c r="G51">
        <v>44.75383369</v>
      </c>
      <c r="H51">
        <v>1.9836239993574047</v>
      </c>
      <c r="I51">
        <v>0.74034030500000003</v>
      </c>
      <c r="J51">
        <v>0.13841582271984149</v>
      </c>
      <c r="K51">
        <v>0.81825510076385699</v>
      </c>
      <c r="L51">
        <v>0.15945357419449416</v>
      </c>
      <c r="M51">
        <v>0</v>
      </c>
      <c r="N51">
        <v>0</v>
      </c>
      <c r="O51">
        <v>0.10407294507922682</v>
      </c>
      <c r="P51">
        <v>1.4625105961109794E-2</v>
      </c>
      <c r="Q51">
        <v>0.19307841838355491</v>
      </c>
      <c r="R51">
        <v>1.0645001488183089E-2</v>
      </c>
      <c r="S51">
        <v>0.33448548244186632</v>
      </c>
      <c r="T51">
        <v>2.1997738033662988E-2</v>
      </c>
      <c r="U51">
        <v>3.0835623585097071E-2</v>
      </c>
      <c r="V51">
        <v>1.3288480654005826E-3</v>
      </c>
      <c r="W51">
        <v>2.3103666643528192E-3</v>
      </c>
      <c r="X51">
        <v>2.0493810654813073E-3</v>
      </c>
      <c r="Y51">
        <v>0.78354425558359342</v>
      </c>
      <c r="Z51">
        <v>5.7391412311300655E-2</v>
      </c>
      <c r="AA51">
        <v>0.10277217983726084</v>
      </c>
      <c r="AB51">
        <v>1.2654952672513963E-2</v>
      </c>
      <c r="AC51">
        <v>1.1134070147882171</v>
      </c>
      <c r="AD51">
        <v>2.5658899197939868E-2</v>
      </c>
      <c r="AE51" s="1"/>
    </row>
    <row r="52" spans="1:31" x14ac:dyDescent="0.2">
      <c r="A52" t="s">
        <v>5</v>
      </c>
      <c r="B52" s="2">
        <v>100</v>
      </c>
      <c r="C52">
        <v>2.1366666666666667</v>
      </c>
      <c r="D52">
        <v>0.21361959960016152</v>
      </c>
      <c r="E52">
        <v>5.5</v>
      </c>
      <c r="F52">
        <v>0.46861498055439926</v>
      </c>
      <c r="G52">
        <v>49.982196124999994</v>
      </c>
      <c r="H52">
        <v>1.237262206235384</v>
      </c>
      <c r="I52">
        <v>0.73958858243468717</v>
      </c>
      <c r="J52">
        <v>0.14358963680142892</v>
      </c>
      <c r="K52">
        <v>0.86605012533333336</v>
      </c>
      <c r="L52">
        <v>8.0086931707684425E-2</v>
      </c>
      <c r="M52">
        <v>8.1376050000000009E-3</v>
      </c>
      <c r="N52">
        <v>7.5341124361516529E-3</v>
      </c>
      <c r="O52">
        <v>0.19516399799999998</v>
      </c>
      <c r="P52">
        <v>2.4746057558625328E-2</v>
      </c>
      <c r="Q52">
        <v>0.225614177</v>
      </c>
      <c r="R52">
        <v>1.6344481299992275E-2</v>
      </c>
      <c r="S52">
        <v>0.44395111799999998</v>
      </c>
      <c r="T52">
        <v>5.5932105017612706E-2</v>
      </c>
      <c r="U52">
        <v>1.8723924666666666E-2</v>
      </c>
      <c r="V52">
        <v>8.2266268179392518E-3</v>
      </c>
      <c r="W52">
        <v>3.124698E-3</v>
      </c>
      <c r="X52">
        <v>3.4583144825483989E-3</v>
      </c>
      <c r="Y52">
        <v>0.92208414866666677</v>
      </c>
      <c r="Z52">
        <v>8.8336106699089589E-2</v>
      </c>
      <c r="AA52">
        <v>0.16171950233333335</v>
      </c>
      <c r="AB52">
        <v>1.182349788796401E-2</v>
      </c>
      <c r="AC52">
        <v>1.3231849529999999</v>
      </c>
      <c r="AD52">
        <v>0.14934271713664948</v>
      </c>
      <c r="AE52" s="1"/>
    </row>
    <row r="53" spans="1:31" x14ac:dyDescent="0.2">
      <c r="A53" t="s">
        <v>5</v>
      </c>
      <c r="B53" s="2">
        <v>117</v>
      </c>
      <c r="C53">
        <v>1.8766666666666667</v>
      </c>
      <c r="D53">
        <v>0.18717193521821937</v>
      </c>
      <c r="E53">
        <v>5.1000000000000005</v>
      </c>
      <c r="F53">
        <v>0.4686149805543996</v>
      </c>
      <c r="G53">
        <v>49.880751803333332</v>
      </c>
      <c r="H53">
        <v>2.667180761580024</v>
      </c>
      <c r="I53">
        <v>0.56280278866666666</v>
      </c>
      <c r="J53">
        <v>0.1238915134757065</v>
      </c>
      <c r="K53">
        <v>0.80395480993217039</v>
      </c>
      <c r="L53">
        <v>0.12948721396543933</v>
      </c>
      <c r="M53">
        <v>0</v>
      </c>
      <c r="N53">
        <v>0</v>
      </c>
      <c r="O53">
        <v>0.14328735758822839</v>
      </c>
      <c r="P53">
        <v>8.173951725634971E-3</v>
      </c>
      <c r="Q53">
        <v>0.17250316888651696</v>
      </c>
      <c r="R53">
        <v>8.019013701568484E-3</v>
      </c>
      <c r="S53">
        <v>0.41364686262974543</v>
      </c>
      <c r="T53">
        <v>5.6139738661143855E-3</v>
      </c>
      <c r="U53">
        <v>3.5850002061867198E-2</v>
      </c>
      <c r="V53">
        <v>3.4081110682206272E-3</v>
      </c>
      <c r="W53">
        <v>6.8390891819991749E-3</v>
      </c>
      <c r="X53">
        <v>3.8157969162032949E-3</v>
      </c>
      <c r="Y53">
        <v>0.81066877465339937</v>
      </c>
      <c r="Z53">
        <v>1.8872689827185093E-2</v>
      </c>
      <c r="AA53">
        <v>0.13780432345207747</v>
      </c>
      <c r="AB53">
        <v>4.7749703424836429E-3</v>
      </c>
      <c r="AC53">
        <v>1.3185520407887978</v>
      </c>
      <c r="AD53">
        <v>6.5156233915406203E-2</v>
      </c>
      <c r="AE53" s="1"/>
    </row>
    <row r="54" spans="1:31" x14ac:dyDescent="0.2">
      <c r="A54" t="s">
        <v>5</v>
      </c>
      <c r="B54" s="2">
        <v>142</v>
      </c>
      <c r="C54">
        <v>1.7866666666666664</v>
      </c>
      <c r="D54">
        <v>0.21221058723196001</v>
      </c>
      <c r="E54">
        <v>4.3</v>
      </c>
      <c r="F54">
        <v>0.38935844667863573</v>
      </c>
      <c r="G54">
        <v>52.346135541666662</v>
      </c>
      <c r="H54">
        <v>1.7014240065523671</v>
      </c>
      <c r="I54">
        <v>0.60215451114769147</v>
      </c>
      <c r="J54">
        <v>0.13275504042315681</v>
      </c>
      <c r="K54">
        <v>0.98591138899999997</v>
      </c>
      <c r="L54">
        <v>0.26152666153383214</v>
      </c>
      <c r="M54">
        <v>1.0897272999999999E-2</v>
      </c>
      <c r="N54">
        <v>3.1522138300965558E-3</v>
      </c>
      <c r="O54">
        <v>0.23068709899999998</v>
      </c>
      <c r="P54">
        <v>1.7500325511743173E-2</v>
      </c>
      <c r="Q54">
        <v>0.23852099566666665</v>
      </c>
      <c r="R54">
        <v>2.9848696074335934E-2</v>
      </c>
      <c r="S54">
        <v>0.51190898266666662</v>
      </c>
      <c r="T54">
        <v>4.4488395942132761E-2</v>
      </c>
      <c r="U54">
        <v>2.3748145999999998E-2</v>
      </c>
      <c r="V54">
        <v>1.9132273024967527E-3</v>
      </c>
      <c r="W54">
        <v>3.8242039999999995E-3</v>
      </c>
      <c r="X54">
        <v>1.4554038414347405E-3</v>
      </c>
      <c r="Y54">
        <v>0.98177544300000008</v>
      </c>
      <c r="Z54">
        <v>0.11676241680053931</v>
      </c>
      <c r="AA54">
        <v>0.18760407300000001</v>
      </c>
      <c r="AB54">
        <v>1.4051932475756661E-2</v>
      </c>
      <c r="AC54">
        <v>1.4582109383333333</v>
      </c>
      <c r="AD54">
        <v>5.2043359316782986E-2</v>
      </c>
      <c r="AE54" s="1"/>
    </row>
    <row r="55" spans="1:31" x14ac:dyDescent="0.2">
      <c r="A55" t="s">
        <v>5</v>
      </c>
      <c r="B55" s="2">
        <v>168</v>
      </c>
      <c r="C55">
        <v>1.6433333333333333</v>
      </c>
      <c r="D55">
        <v>0.20256686138985025</v>
      </c>
      <c r="E55">
        <v>4.2133333333333329</v>
      </c>
      <c r="F55">
        <v>0.39715656022950624</v>
      </c>
      <c r="G55">
        <v>50.177805416666665</v>
      </c>
      <c r="H55">
        <v>2.6657916974147273</v>
      </c>
      <c r="I55">
        <v>0.59093403209370543</v>
      </c>
      <c r="J55">
        <v>0.14851938813599319</v>
      </c>
      <c r="K55">
        <v>0.93915594400000002</v>
      </c>
      <c r="L55">
        <v>0.11121784535892362</v>
      </c>
      <c r="M55">
        <v>5.2810826666666666E-3</v>
      </c>
      <c r="N55">
        <v>5.6829102841391343E-3</v>
      </c>
      <c r="O55">
        <v>0.22129243499999998</v>
      </c>
      <c r="P55">
        <v>6.5821140119627277E-3</v>
      </c>
      <c r="Q55">
        <v>0.232201352</v>
      </c>
      <c r="R55">
        <v>6.4283853288101076E-3</v>
      </c>
      <c r="S55">
        <v>0.48191059233333333</v>
      </c>
      <c r="T55">
        <v>1.5483222082613804E-2</v>
      </c>
      <c r="U55">
        <v>2.2797291999999997E-2</v>
      </c>
      <c r="V55">
        <v>5.659711690652899E-3</v>
      </c>
      <c r="W55">
        <v>1.4230456666666667E-3</v>
      </c>
      <c r="X55">
        <v>1.4851190268676561E-3</v>
      </c>
      <c r="Y55">
        <v>0.91093247066666672</v>
      </c>
      <c r="Z55">
        <v>2.9825040307975764E-2</v>
      </c>
      <c r="AA55">
        <v>0.18135329966666669</v>
      </c>
      <c r="AB55">
        <v>4.4550031523771464E-3</v>
      </c>
      <c r="AC55">
        <v>1.4052868243333334</v>
      </c>
      <c r="AD55">
        <v>5.6181740955493005E-2</v>
      </c>
      <c r="AE55" s="1"/>
    </row>
    <row r="56" spans="1:31" x14ac:dyDescent="0.2">
      <c r="A56" t="s">
        <v>5</v>
      </c>
      <c r="B56" s="2">
        <v>190</v>
      </c>
      <c r="C56">
        <v>1.4166666666666667</v>
      </c>
      <c r="D56">
        <v>0.13503086067019399</v>
      </c>
      <c r="E56">
        <v>4.08</v>
      </c>
      <c r="F56">
        <v>0.37040518354904267</v>
      </c>
      <c r="G56">
        <v>52.286417229166659</v>
      </c>
      <c r="H56">
        <v>2.5387902911407085</v>
      </c>
      <c r="I56">
        <v>0.5739913326838445</v>
      </c>
      <c r="J56">
        <v>0.15969008699579362</v>
      </c>
      <c r="K56">
        <v>0.90901379500000001</v>
      </c>
      <c r="L56">
        <v>6.9600322078723229E-2</v>
      </c>
      <c r="M56">
        <v>6.5585423333333337E-3</v>
      </c>
      <c r="N56">
        <v>7.037359018245007E-3</v>
      </c>
      <c r="O56">
        <v>0.21831387366666666</v>
      </c>
      <c r="P56">
        <v>2.7136725028455266E-2</v>
      </c>
      <c r="Q56">
        <v>0.22423120066666669</v>
      </c>
      <c r="R56">
        <v>2.6453797224007675E-2</v>
      </c>
      <c r="S56">
        <v>0.47186241766666664</v>
      </c>
      <c r="T56">
        <v>5.346436827360955E-2</v>
      </c>
      <c r="U56">
        <v>2.2007877333333332E-2</v>
      </c>
      <c r="V56">
        <v>1.0052180747712535E-2</v>
      </c>
      <c r="W56">
        <v>3.6924326666666666E-3</v>
      </c>
      <c r="X56">
        <v>3.4536880537606937E-3</v>
      </c>
      <c r="Y56">
        <v>0.87184726366666665</v>
      </c>
      <c r="Z56">
        <v>6.942393353644867E-2</v>
      </c>
      <c r="AA56">
        <v>0.17758820933333333</v>
      </c>
      <c r="AB56">
        <v>2.8834622880140111E-2</v>
      </c>
      <c r="AC56">
        <v>1.355176333</v>
      </c>
      <c r="AD56">
        <v>0.22145584623123607</v>
      </c>
      <c r="AE56" s="1"/>
    </row>
    <row r="57" spans="1:31" x14ac:dyDescent="0.2">
      <c r="A57" t="s">
        <v>5</v>
      </c>
      <c r="B57" s="2">
        <v>240</v>
      </c>
      <c r="C57">
        <v>0.84666666666666668</v>
      </c>
      <c r="D57">
        <v>0.15307950004273407</v>
      </c>
      <c r="E57" t="s">
        <v>2</v>
      </c>
      <c r="F57" t="s">
        <v>2</v>
      </c>
      <c r="G57">
        <v>59.216466666666662</v>
      </c>
      <c r="H57">
        <v>2.6500919185253418</v>
      </c>
      <c r="I57">
        <v>0.56053597772675334</v>
      </c>
      <c r="J57">
        <v>0.15467149023742027</v>
      </c>
      <c r="K57">
        <v>0.89341601066666676</v>
      </c>
      <c r="L57">
        <v>7.2782319163335468E-2</v>
      </c>
      <c r="M57">
        <v>5.4731603333333335E-3</v>
      </c>
      <c r="N57">
        <v>9.4797917753039456E-3</v>
      </c>
      <c r="O57">
        <v>0.21392783099999998</v>
      </c>
      <c r="P57">
        <v>2.7373881196005805E-2</v>
      </c>
      <c r="Q57">
        <v>0.21417623466666666</v>
      </c>
      <c r="R57">
        <v>1.9264436981233177E-2</v>
      </c>
      <c r="S57">
        <v>0.464651441</v>
      </c>
      <c r="T57">
        <v>6.2496964455778153E-2</v>
      </c>
      <c r="U57">
        <v>2.1792330000000002E-2</v>
      </c>
      <c r="V57">
        <v>9.7726152993051416E-3</v>
      </c>
      <c r="W57">
        <v>2.0396136666666668E-3</v>
      </c>
      <c r="X57">
        <v>3.532714498478519E-3</v>
      </c>
      <c r="Y57">
        <v>0.83728955133333327</v>
      </c>
      <c r="Z57">
        <v>8.1856247338702906E-2</v>
      </c>
      <c r="AA57">
        <v>0.17907898066666669</v>
      </c>
      <c r="AB57">
        <v>2.2494374091495704E-2</v>
      </c>
      <c r="AC57">
        <v>1.3276185146666666</v>
      </c>
      <c r="AD57">
        <v>0.16088903125919118</v>
      </c>
      <c r="AE57" s="1"/>
    </row>
    <row r="58" spans="1:31" x14ac:dyDescent="0.2">
      <c r="A58" t="s">
        <v>7</v>
      </c>
      <c r="B58" s="2">
        <v>0</v>
      </c>
      <c r="C58">
        <v>6.000000000000001E-3</v>
      </c>
      <c r="D58">
        <v>1.7320508075688774E-3</v>
      </c>
      <c r="E58">
        <v>0.44</v>
      </c>
      <c r="F58">
        <v>0</v>
      </c>
      <c r="G58">
        <v>2.8934899206666667</v>
      </c>
      <c r="H58">
        <v>0.10867580465808781</v>
      </c>
      <c r="I58">
        <v>5.7094765446666669</v>
      </c>
      <c r="J58">
        <v>5.2354623958091158E-2</v>
      </c>
      <c r="K58">
        <v>1.6449839298163955</v>
      </c>
      <c r="L58">
        <v>5.6198997885582448E-2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s="1"/>
    </row>
    <row r="59" spans="1:31" x14ac:dyDescent="0.2">
      <c r="A59" t="s">
        <v>7</v>
      </c>
      <c r="B59" s="2">
        <v>21</v>
      </c>
      <c r="C59">
        <v>3.6666666666666667E-2</v>
      </c>
      <c r="D59">
        <v>1.0016652800877813E-2</v>
      </c>
      <c r="E59">
        <v>0.8933333333333332</v>
      </c>
      <c r="F59">
        <v>7.5718777944003654E-2</v>
      </c>
      <c r="G59">
        <v>3.3737910533333335</v>
      </c>
      <c r="H59">
        <v>0.17475013141359408</v>
      </c>
      <c r="I59">
        <v>5.6359328839999998</v>
      </c>
      <c r="J59">
        <v>7.863136409110788E-2</v>
      </c>
      <c r="K59">
        <v>1.6741507716972881</v>
      </c>
      <c r="L59">
        <v>6.0660465819301457E-2</v>
      </c>
      <c r="M59">
        <v>0</v>
      </c>
      <c r="N59">
        <v>0</v>
      </c>
      <c r="O59">
        <v>9.1701939829070805E-3</v>
      </c>
      <c r="P59">
        <v>1.2728026932875867E-2</v>
      </c>
      <c r="Q59">
        <v>4.0995467206486898E-2</v>
      </c>
      <c r="R59">
        <v>2.9674596723757881E-2</v>
      </c>
      <c r="S59">
        <v>2.4358596527844317E-2</v>
      </c>
      <c r="T59">
        <v>2.9748078662343944E-2</v>
      </c>
      <c r="U59">
        <v>7.620006667970651E-2</v>
      </c>
      <c r="V59">
        <v>7.2172993506702754E-2</v>
      </c>
      <c r="W59">
        <v>9.2297013240018932E-2</v>
      </c>
      <c r="X59">
        <v>9.1835532941820758E-2</v>
      </c>
      <c r="Y59">
        <v>0.13255148683944104</v>
      </c>
      <c r="Z59">
        <v>6.3753050905637279E-2</v>
      </c>
      <c r="AA59">
        <v>0.13038106421889609</v>
      </c>
      <c r="AB59">
        <v>0.12550699956390704</v>
      </c>
      <c r="AC59">
        <v>9.9181416665712493E-2</v>
      </c>
      <c r="AD59">
        <v>0.12639870619284299</v>
      </c>
      <c r="AE59" s="1"/>
    </row>
    <row r="60" spans="1:31" x14ac:dyDescent="0.2">
      <c r="A60" t="s">
        <v>7</v>
      </c>
      <c r="B60" s="2">
        <v>28</v>
      </c>
      <c r="C60">
        <v>9.3999999999999986E-2</v>
      </c>
      <c r="D60">
        <v>2.4637369989509907E-2</v>
      </c>
      <c r="E60">
        <v>0.96</v>
      </c>
      <c r="F60">
        <v>0.13114877048604126</v>
      </c>
      <c r="G60">
        <v>4.6319931875000009</v>
      </c>
      <c r="H60">
        <v>0.29676802442145234</v>
      </c>
      <c r="I60">
        <v>5.082014759073247</v>
      </c>
      <c r="J60">
        <v>0.10080947413986048</v>
      </c>
      <c r="K60">
        <v>1.8074358543333335</v>
      </c>
      <c r="L60">
        <v>2.4128522232375289E-2</v>
      </c>
      <c r="M60">
        <v>0</v>
      </c>
      <c r="N60">
        <v>0</v>
      </c>
      <c r="O60">
        <v>2.0888122666666665E-2</v>
      </c>
      <c r="P60">
        <v>2.0456971810931183E-3</v>
      </c>
      <c r="Q60">
        <v>4.2779968333333328E-2</v>
      </c>
      <c r="R60">
        <v>4.1059249042867734E-3</v>
      </c>
      <c r="S60">
        <v>1.8586903333333335E-3</v>
      </c>
      <c r="T60">
        <v>1.1271758034150368E-3</v>
      </c>
      <c r="U60">
        <v>0</v>
      </c>
      <c r="V60">
        <v>0</v>
      </c>
      <c r="W60">
        <v>0</v>
      </c>
      <c r="X60">
        <v>0</v>
      </c>
      <c r="Y60">
        <v>2.4289434666666665E-2</v>
      </c>
      <c r="Z60">
        <v>8.7870756016805423E-3</v>
      </c>
      <c r="AA60">
        <v>0</v>
      </c>
      <c r="AB60">
        <v>0</v>
      </c>
      <c r="AC60">
        <v>0</v>
      </c>
      <c r="AD60">
        <v>0</v>
      </c>
      <c r="AE60" s="1"/>
    </row>
    <row r="61" spans="1:31" x14ac:dyDescent="0.2">
      <c r="A61" t="s">
        <v>7</v>
      </c>
      <c r="B61" s="2">
        <v>45</v>
      </c>
      <c r="C61">
        <v>0.7599999999999999</v>
      </c>
      <c r="D61">
        <v>0.17058722109231986</v>
      </c>
      <c r="E61">
        <v>3.293333333333333</v>
      </c>
      <c r="F61">
        <v>0.51432804058629367</v>
      </c>
      <c r="G61">
        <v>16.666173026666666</v>
      </c>
      <c r="H61">
        <v>2.590392314494661</v>
      </c>
      <c r="I61">
        <v>4.2730001179999997</v>
      </c>
      <c r="J61">
        <v>0.26444042415173963</v>
      </c>
      <c r="K61">
        <v>2.0974271661826225</v>
      </c>
      <c r="L61">
        <v>0.10031622189798012</v>
      </c>
      <c r="M61">
        <v>0</v>
      </c>
      <c r="N61">
        <v>0</v>
      </c>
      <c r="O61">
        <v>5.2222020426072428E-2</v>
      </c>
      <c r="P61">
        <v>5.5478801119545505E-3</v>
      </c>
      <c r="Q61">
        <v>0.18831388130439453</v>
      </c>
      <c r="R61">
        <v>1.7468166757037787E-2</v>
      </c>
      <c r="S61">
        <v>5.4693593767598699E-2</v>
      </c>
      <c r="T61">
        <v>2.2968457580830309E-2</v>
      </c>
      <c r="U61">
        <v>3.8014281048974592E-2</v>
      </c>
      <c r="V61">
        <v>8.990106645513446E-3</v>
      </c>
      <c r="W61">
        <v>3.2572938068855452E-2</v>
      </c>
      <c r="X61">
        <v>1.9860464295567239E-2</v>
      </c>
      <c r="Y61">
        <v>0.46248533202628739</v>
      </c>
      <c r="Z61">
        <v>5.6103955056396586E-2</v>
      </c>
      <c r="AA61">
        <v>5.9993516956736763E-2</v>
      </c>
      <c r="AB61">
        <v>1.9005587848851483E-2</v>
      </c>
      <c r="AC61">
        <v>8.677079182399855E-2</v>
      </c>
      <c r="AD61">
        <v>4.5273450903285592E-2</v>
      </c>
      <c r="AE61" s="1"/>
    </row>
    <row r="62" spans="1:31" x14ac:dyDescent="0.2">
      <c r="A62" t="s">
        <v>7</v>
      </c>
      <c r="B62" s="2">
        <v>52</v>
      </c>
      <c r="C62">
        <v>0.94333333333333336</v>
      </c>
      <c r="D62">
        <v>0.15502687938977985</v>
      </c>
      <c r="E62">
        <v>3.7399999999999998</v>
      </c>
      <c r="F62">
        <v>0.41761226035642185</v>
      </c>
      <c r="G62">
        <v>21.510619625000004</v>
      </c>
      <c r="H62">
        <v>2.3287378810333439</v>
      </c>
      <c r="I62">
        <v>3.3215081578033838</v>
      </c>
      <c r="J62">
        <v>0.32123360271208989</v>
      </c>
      <c r="K62">
        <v>1.9143371733333332</v>
      </c>
      <c r="L62">
        <v>6.251899655713275E-2</v>
      </c>
      <c r="M62">
        <v>0</v>
      </c>
      <c r="N62">
        <v>0</v>
      </c>
      <c r="O62">
        <v>0.10714313566666667</v>
      </c>
      <c r="P62">
        <v>1.4616542947863288E-2</v>
      </c>
      <c r="Q62">
        <v>0.25913472099999996</v>
      </c>
      <c r="R62">
        <v>4.6795956821250581E-2</v>
      </c>
      <c r="S62">
        <v>0.11245611066666666</v>
      </c>
      <c r="T62">
        <v>3.4767669779107127E-2</v>
      </c>
      <c r="U62">
        <v>0</v>
      </c>
      <c r="V62">
        <v>0</v>
      </c>
      <c r="W62">
        <v>0</v>
      </c>
      <c r="X62">
        <v>0</v>
      </c>
      <c r="Y62">
        <v>0.60524759566666664</v>
      </c>
      <c r="Z62">
        <v>0.12276358302886659</v>
      </c>
      <c r="AA62">
        <v>2.7411942333333331E-2</v>
      </c>
      <c r="AB62">
        <v>7.685390511675415E-3</v>
      </c>
      <c r="AC62">
        <v>0.25374076499999998</v>
      </c>
      <c r="AD62">
        <v>0.1108250815400471</v>
      </c>
      <c r="AE62" s="1"/>
    </row>
    <row r="63" spans="1:31" x14ac:dyDescent="0.2">
      <c r="A63" t="s">
        <v>7</v>
      </c>
      <c r="B63" s="2">
        <v>69</v>
      </c>
      <c r="C63">
        <v>1.0900000000000001</v>
      </c>
      <c r="D63">
        <v>0.1039230484541326</v>
      </c>
      <c r="E63">
        <v>4.5066666666666668</v>
      </c>
      <c r="F63">
        <v>0.23860706890897718</v>
      </c>
      <c r="G63">
        <v>29.407633956666668</v>
      </c>
      <c r="H63">
        <v>1.8735848005634241</v>
      </c>
      <c r="I63">
        <v>2.5111426209999999</v>
      </c>
      <c r="J63">
        <v>0.22391815461246317</v>
      </c>
      <c r="K63">
        <v>1.5649581735692288</v>
      </c>
      <c r="L63">
        <v>5.8716653652978693E-2</v>
      </c>
      <c r="M63">
        <v>0</v>
      </c>
      <c r="N63">
        <v>0</v>
      </c>
      <c r="O63">
        <v>6.7025005643247676E-2</v>
      </c>
      <c r="P63">
        <v>7.1797710622087977E-3</v>
      </c>
      <c r="Q63">
        <v>0.29801345257211415</v>
      </c>
      <c r="R63">
        <v>2.8187325064695731E-2</v>
      </c>
      <c r="S63">
        <v>0.13673968473002063</v>
      </c>
      <c r="T63">
        <v>2.7283420334567588E-2</v>
      </c>
      <c r="U63">
        <v>2.49771381907903E-2</v>
      </c>
      <c r="V63">
        <v>3.7893952107075505E-3</v>
      </c>
      <c r="W63">
        <v>3.2361838535754999E-3</v>
      </c>
      <c r="X63">
        <v>2.7391808403574146E-3</v>
      </c>
      <c r="Y63">
        <v>0.74660705387315485</v>
      </c>
      <c r="Z63">
        <v>6.8259243327591423E-2</v>
      </c>
      <c r="AA63">
        <v>4.2795040877547409E-2</v>
      </c>
      <c r="AB63">
        <v>1.0114290043473202E-2</v>
      </c>
      <c r="AC63">
        <v>0.56911952966707202</v>
      </c>
      <c r="AD63">
        <v>9.5276786890351947E-2</v>
      </c>
      <c r="AE63" s="1"/>
    </row>
    <row r="64" spans="1:31" x14ac:dyDescent="0.2">
      <c r="A64" t="s">
        <v>7</v>
      </c>
      <c r="B64" s="2">
        <v>76</v>
      </c>
      <c r="C64">
        <v>1.18</v>
      </c>
      <c r="D64">
        <v>0.16462077633154434</v>
      </c>
      <c r="E64">
        <v>4.5666666666666664</v>
      </c>
      <c r="F64">
        <v>0.16772994167212144</v>
      </c>
      <c r="G64">
        <v>34.596546604166662</v>
      </c>
      <c r="H64">
        <v>2.0334113771819964</v>
      </c>
      <c r="I64">
        <v>1.9316469020503693</v>
      </c>
      <c r="J64">
        <v>0.11418028503840628</v>
      </c>
      <c r="K64">
        <v>1.6117367576666666</v>
      </c>
      <c r="L64">
        <v>4.6246172894619714E-2</v>
      </c>
      <c r="M64">
        <v>0</v>
      </c>
      <c r="N64">
        <v>0</v>
      </c>
      <c r="O64">
        <v>0.13627172200000001</v>
      </c>
      <c r="P64">
        <v>6.3212139389407567E-3</v>
      </c>
      <c r="Q64">
        <v>0.372155819</v>
      </c>
      <c r="R64">
        <v>1.2566038632459005E-2</v>
      </c>
      <c r="S64">
        <v>0.21737345533333333</v>
      </c>
      <c r="T64">
        <v>1.2315344946129613E-2</v>
      </c>
      <c r="U64">
        <v>9.7944796666666663E-3</v>
      </c>
      <c r="V64">
        <v>2.5866779346073085E-3</v>
      </c>
      <c r="W64">
        <v>0</v>
      </c>
      <c r="X64">
        <v>0</v>
      </c>
      <c r="Y64">
        <v>0.88304494</v>
      </c>
      <c r="Z64">
        <v>1.8710138822805658E-2</v>
      </c>
      <c r="AA64">
        <v>7.8711035999999998E-2</v>
      </c>
      <c r="AB64">
        <v>2.3866578955248291E-3</v>
      </c>
      <c r="AC64">
        <v>0.83405938400000001</v>
      </c>
      <c r="AD64">
        <v>3.3153162804774636E-2</v>
      </c>
      <c r="AE64" s="1"/>
    </row>
    <row r="65" spans="1:31" x14ac:dyDescent="0.2">
      <c r="A65" t="s">
        <v>7</v>
      </c>
      <c r="B65" s="2">
        <v>92</v>
      </c>
      <c r="C65">
        <v>1.29</v>
      </c>
      <c r="D65">
        <v>0.18357559750685837</v>
      </c>
      <c r="E65">
        <v>4.586666666666666</v>
      </c>
      <c r="F65">
        <v>0.11718930554164615</v>
      </c>
      <c r="G65">
        <v>38.474232113333336</v>
      </c>
      <c r="H65">
        <v>0.80032321012078578</v>
      </c>
      <c r="I65">
        <v>1.4214462953333333</v>
      </c>
      <c r="J65">
        <v>0.19389473466511539</v>
      </c>
      <c r="K65">
        <v>1.4249208343915842</v>
      </c>
      <c r="L65">
        <v>9.6210563434281179E-2</v>
      </c>
      <c r="M65">
        <v>0</v>
      </c>
      <c r="N65">
        <v>0</v>
      </c>
      <c r="O65">
        <v>0.10932327840581189</v>
      </c>
      <c r="P65">
        <v>4.8975460447701754E-3</v>
      </c>
      <c r="Q65">
        <v>0.40457659380914385</v>
      </c>
      <c r="R65">
        <v>2.4143708145288937E-2</v>
      </c>
      <c r="S65">
        <v>0.25616309191940084</v>
      </c>
      <c r="T65">
        <v>7.5317496309982787E-3</v>
      </c>
      <c r="U65">
        <v>4.6799662745559516E-2</v>
      </c>
      <c r="V65">
        <v>3.2135105576067925E-3</v>
      </c>
      <c r="W65">
        <v>7.634757582004114E-3</v>
      </c>
      <c r="X65">
        <v>1.8566223224140354E-3</v>
      </c>
      <c r="Y65">
        <v>0.95995853605203563</v>
      </c>
      <c r="Z65">
        <v>3.9345509240031801E-2</v>
      </c>
      <c r="AA65">
        <v>0.10069754538980902</v>
      </c>
      <c r="AB65">
        <v>6.1823973407058039E-3</v>
      </c>
      <c r="AC65">
        <v>1.1703261064101811</v>
      </c>
      <c r="AD65">
        <v>1.8352577646433745E-2</v>
      </c>
      <c r="AE65" s="1"/>
    </row>
    <row r="66" spans="1:31" x14ac:dyDescent="0.2">
      <c r="A66" t="s">
        <v>7</v>
      </c>
      <c r="B66" s="2">
        <v>100</v>
      </c>
      <c r="C66">
        <v>1.37</v>
      </c>
      <c r="D66">
        <v>0.17349351572897348</v>
      </c>
      <c r="E66">
        <v>4.5999999999999996</v>
      </c>
      <c r="F66">
        <v>0.10583005244258371</v>
      </c>
      <c r="G66">
        <v>42.371165999999995</v>
      </c>
      <c r="H66">
        <v>0.81128618475048597</v>
      </c>
      <c r="I66">
        <v>1.2734683822129649</v>
      </c>
      <c r="J66">
        <v>6.9845031034916016E-2</v>
      </c>
      <c r="K66">
        <v>1.2914761239999999</v>
      </c>
      <c r="L66">
        <v>8.8640436380671955E-2</v>
      </c>
      <c r="M66">
        <v>1.0207803333333334E-3</v>
      </c>
      <c r="N66">
        <v>1.7680434007004279E-3</v>
      </c>
      <c r="O66">
        <v>0.170723611</v>
      </c>
      <c r="P66">
        <v>5.8141343939403366E-4</v>
      </c>
      <c r="Q66">
        <v>0.42230273866666668</v>
      </c>
      <c r="R66">
        <v>2.7479019417159557E-2</v>
      </c>
      <c r="S66">
        <v>0.32643460866666668</v>
      </c>
      <c r="T66">
        <v>1.3379739942814746E-2</v>
      </c>
      <c r="U66">
        <v>3.0158243666666668E-2</v>
      </c>
      <c r="V66">
        <v>4.1142629750826982E-3</v>
      </c>
      <c r="W66">
        <v>0</v>
      </c>
      <c r="X66">
        <v>0</v>
      </c>
      <c r="Y66">
        <v>1.0312834413333334</v>
      </c>
      <c r="Z66">
        <v>3.3130668640135905E-2</v>
      </c>
      <c r="AA66">
        <v>0.13382968833333334</v>
      </c>
      <c r="AB66">
        <v>4.4256332675268444E-3</v>
      </c>
      <c r="AC66">
        <v>1.3249826793333332</v>
      </c>
      <c r="AD66">
        <v>4.0363333678500167E-2</v>
      </c>
      <c r="AE66" s="1"/>
    </row>
    <row r="67" spans="1:31" x14ac:dyDescent="0.2">
      <c r="A67" t="s">
        <v>7</v>
      </c>
      <c r="B67" s="2">
        <v>117</v>
      </c>
      <c r="C67">
        <v>1.343333333333333</v>
      </c>
      <c r="D67">
        <v>0.16258331197676268</v>
      </c>
      <c r="E67">
        <v>4.3999999999999995</v>
      </c>
      <c r="F67">
        <v>0.10583005244258323</v>
      </c>
      <c r="G67">
        <v>48.365874636666661</v>
      </c>
      <c r="H67">
        <v>1.3839916693756236</v>
      </c>
      <c r="I67">
        <v>0.99892473133333326</v>
      </c>
      <c r="J67">
        <v>2.4530265615596826E-2</v>
      </c>
      <c r="K67">
        <v>1.1339578913631925</v>
      </c>
      <c r="L67">
        <v>2.8676331903807788E-2</v>
      </c>
      <c r="M67">
        <v>0</v>
      </c>
      <c r="N67">
        <v>0</v>
      </c>
      <c r="O67">
        <v>0.1327532500345594</v>
      </c>
      <c r="P67">
        <v>9.4772511514547471E-3</v>
      </c>
      <c r="Q67">
        <v>0.35904614569951204</v>
      </c>
      <c r="R67">
        <v>1.9719516582264889E-2</v>
      </c>
      <c r="S67">
        <v>0.34944447191168554</v>
      </c>
      <c r="T67">
        <v>1.5368893337847814E-2</v>
      </c>
      <c r="U67">
        <v>5.2106897601905511E-2</v>
      </c>
      <c r="V67">
        <v>3.8202721784637125E-3</v>
      </c>
      <c r="W67">
        <v>7.1480129369862139E-3</v>
      </c>
      <c r="X67">
        <v>5.3099018562362146E-4</v>
      </c>
      <c r="Y67">
        <v>0.99865003885649539</v>
      </c>
      <c r="Z67">
        <v>9.371227834686871E-3</v>
      </c>
      <c r="AA67">
        <v>0.13808827742965082</v>
      </c>
      <c r="AB67">
        <v>6.9319945493730292E-3</v>
      </c>
      <c r="AC67">
        <v>1.4910344926365413</v>
      </c>
      <c r="AD67">
        <v>6.7752572547689002E-2</v>
      </c>
      <c r="AE67" s="1"/>
    </row>
    <row r="68" spans="1:31" x14ac:dyDescent="0.2">
      <c r="A68" t="s">
        <v>7</v>
      </c>
      <c r="B68" s="2">
        <v>142</v>
      </c>
      <c r="C68">
        <v>1.3233333333333333</v>
      </c>
      <c r="D68">
        <v>0.15631165450257808</v>
      </c>
      <c r="E68">
        <v>3.94</v>
      </c>
      <c r="F68">
        <v>0.10583005244258346</v>
      </c>
      <c r="G68">
        <v>54.047276104166663</v>
      </c>
      <c r="H68">
        <v>1.8892192940441892</v>
      </c>
      <c r="I68">
        <v>0.90562255741816988</v>
      </c>
      <c r="J68">
        <v>2.4885614767653805E-2</v>
      </c>
      <c r="K68">
        <v>1.1697086836666666</v>
      </c>
      <c r="L68">
        <v>1.8038953050916063E-2</v>
      </c>
      <c r="M68">
        <v>5.5618103333333335E-3</v>
      </c>
      <c r="N68">
        <v>5.6475073391515241E-3</v>
      </c>
      <c r="O68">
        <v>0.22724601433333333</v>
      </c>
      <c r="P68">
        <v>5.0505897824853502E-3</v>
      </c>
      <c r="Q68">
        <v>0.36754573499999998</v>
      </c>
      <c r="R68">
        <v>2.1719195838994322E-2</v>
      </c>
      <c r="S68">
        <v>0.46395199999999998</v>
      </c>
      <c r="T68">
        <v>6.9484205399500719E-3</v>
      </c>
      <c r="U68">
        <v>3.9379498333333339E-2</v>
      </c>
      <c r="V68">
        <v>5.9099541618162603E-3</v>
      </c>
      <c r="W68">
        <v>2.4622146666666666E-3</v>
      </c>
      <c r="X68">
        <v>1.6942178707670197E-3</v>
      </c>
      <c r="Y68">
        <v>1.1610907513333333</v>
      </c>
      <c r="Z68">
        <v>2.0554119590280646E-2</v>
      </c>
      <c r="AA68">
        <v>0.20690789399999998</v>
      </c>
      <c r="AB68">
        <v>1.360283062853526E-2</v>
      </c>
      <c r="AC68">
        <v>1.6831629850000001</v>
      </c>
      <c r="AD68">
        <v>7.2974381798045176E-2</v>
      </c>
      <c r="AE68" s="1"/>
    </row>
    <row r="69" spans="1:31" x14ac:dyDescent="0.2">
      <c r="A69" t="s">
        <v>7</v>
      </c>
      <c r="B69" s="2">
        <v>168</v>
      </c>
      <c r="C69">
        <v>1.2166666666666668</v>
      </c>
      <c r="D69">
        <v>0.13576941236277537</v>
      </c>
      <c r="E69">
        <v>3.9266666666666663</v>
      </c>
      <c r="F69">
        <v>9.0184995056457731E-2</v>
      </c>
      <c r="G69">
        <v>54.696496208333336</v>
      </c>
      <c r="H69">
        <v>2.2521653003228148</v>
      </c>
      <c r="I69">
        <v>0.81687775052910938</v>
      </c>
      <c r="J69">
        <v>4.3083337095925239E-2</v>
      </c>
      <c r="K69">
        <v>1.0868019306666667</v>
      </c>
      <c r="L69">
        <v>0.13160512627553819</v>
      </c>
      <c r="M69">
        <v>9.2372106666666672E-3</v>
      </c>
      <c r="N69">
        <v>5.1318216568647761E-3</v>
      </c>
      <c r="O69">
        <v>0.24593567599999999</v>
      </c>
      <c r="P69">
        <v>2.5723378251139612E-3</v>
      </c>
      <c r="Q69">
        <v>0.35092640566666672</v>
      </c>
      <c r="R69">
        <v>2.6317813995378976E-2</v>
      </c>
      <c r="S69">
        <v>0.49366778666666661</v>
      </c>
      <c r="T69">
        <v>1.5280763612762416E-2</v>
      </c>
      <c r="U69">
        <v>3.9882797333333331E-2</v>
      </c>
      <c r="V69">
        <v>6.6302861101135398E-3</v>
      </c>
      <c r="W69">
        <v>1.7830203333333336E-3</v>
      </c>
      <c r="X69">
        <v>1.4219468339390657E-3</v>
      </c>
      <c r="Y69">
        <v>1.1539904903333331</v>
      </c>
      <c r="Z69">
        <v>4.5731996270858617E-2</v>
      </c>
      <c r="AA69">
        <v>0.22045019266666666</v>
      </c>
      <c r="AB69">
        <v>9.1336103043727565E-3</v>
      </c>
      <c r="AC69">
        <v>1.7565735003333334</v>
      </c>
      <c r="AD69">
        <v>4.1826768771637574E-2</v>
      </c>
      <c r="AE69" s="1"/>
    </row>
    <row r="70" spans="1:31" x14ac:dyDescent="0.2">
      <c r="A70" t="s">
        <v>7</v>
      </c>
      <c r="B70" s="2">
        <v>190</v>
      </c>
      <c r="C70">
        <v>1.1666666666666667</v>
      </c>
      <c r="D70">
        <v>0.13868429375143149</v>
      </c>
      <c r="E70">
        <v>3.7466666666666666</v>
      </c>
      <c r="F70">
        <v>0.12220201853215559</v>
      </c>
      <c r="G70">
        <v>54.622967104166669</v>
      </c>
      <c r="H70">
        <v>2.0418728285231329</v>
      </c>
      <c r="I70">
        <v>0.79041668066427029</v>
      </c>
      <c r="J70">
        <v>4.5871619040824291E-2</v>
      </c>
      <c r="K70">
        <v>1.0828394553333334</v>
      </c>
      <c r="L70">
        <v>0.17219759489465608</v>
      </c>
      <c r="M70">
        <v>1.6164520333333331E-2</v>
      </c>
      <c r="N70">
        <v>4.6070370530181702E-3</v>
      </c>
      <c r="O70">
        <v>0.26070506300000001</v>
      </c>
      <c r="P70">
        <v>1.8920206106776125E-2</v>
      </c>
      <c r="Q70">
        <v>0.35846419133333329</v>
      </c>
      <c r="R70">
        <v>4.6096087451658684E-2</v>
      </c>
      <c r="S70">
        <v>0.5239618703333333</v>
      </c>
      <c r="T70">
        <v>5.0672338527126499E-2</v>
      </c>
      <c r="U70">
        <v>4.4071680333333335E-2</v>
      </c>
      <c r="V70">
        <v>8.5083406284544756E-3</v>
      </c>
      <c r="W70">
        <v>5.2662843333333336E-3</v>
      </c>
      <c r="X70">
        <v>6.0687904932240268E-3</v>
      </c>
      <c r="Y70">
        <v>1.2048263763333333</v>
      </c>
      <c r="Z70">
        <v>0.13171212353480832</v>
      </c>
      <c r="AA70">
        <v>0.23242781466666665</v>
      </c>
      <c r="AB70">
        <v>2.2449260375274657E-2</v>
      </c>
      <c r="AC70">
        <v>1.8386775026666669</v>
      </c>
      <c r="AD70">
        <v>0.10383733205648039</v>
      </c>
      <c r="AE70" s="1"/>
    </row>
    <row r="71" spans="1:31" x14ac:dyDescent="0.2">
      <c r="A71" t="s">
        <v>7</v>
      </c>
      <c r="B71" s="2">
        <v>240</v>
      </c>
      <c r="C71">
        <v>1.0766666666666667</v>
      </c>
      <c r="D71">
        <v>0.10503967504392486</v>
      </c>
      <c r="E71" t="s">
        <v>2</v>
      </c>
      <c r="F71" t="s">
        <v>2</v>
      </c>
      <c r="G71">
        <v>59.962773333333331</v>
      </c>
      <c r="H71">
        <v>2.3056466337306203</v>
      </c>
      <c r="I71">
        <v>0.76156090202211801</v>
      </c>
      <c r="J71">
        <v>7.4781144356518364E-2</v>
      </c>
      <c r="K71">
        <v>1.0860775250000001</v>
      </c>
      <c r="L71">
        <v>7.1150600459777016E-2</v>
      </c>
      <c r="M71">
        <v>1.0910051666666665E-2</v>
      </c>
      <c r="N71">
        <v>1.8511599795945069E-3</v>
      </c>
      <c r="O71">
        <v>0.26738294533333334</v>
      </c>
      <c r="P71">
        <v>1.006325446537929E-2</v>
      </c>
      <c r="Q71">
        <v>0.35762993166666668</v>
      </c>
      <c r="R71">
        <v>1.0675183227579387E-2</v>
      </c>
      <c r="S71">
        <v>0.53295040666666671</v>
      </c>
      <c r="T71">
        <v>1.7568203872918936E-2</v>
      </c>
      <c r="U71">
        <v>4.629228333333333E-2</v>
      </c>
      <c r="V71">
        <v>3.4809294836674505E-3</v>
      </c>
      <c r="W71">
        <v>5.4785420000000003E-3</v>
      </c>
      <c r="X71">
        <v>2.0135312125266398E-3</v>
      </c>
      <c r="Y71">
        <v>1.2119539026666668</v>
      </c>
      <c r="Z71">
        <v>4.7410627044022977E-2</v>
      </c>
      <c r="AA71">
        <v>0.24525359633333332</v>
      </c>
      <c r="AB71">
        <v>1.7137650209630075E-3</v>
      </c>
      <c r="AC71">
        <v>1.9051309133333334</v>
      </c>
      <c r="AD71">
        <v>4.0605546552692807E-2</v>
      </c>
      <c r="AE71" s="1"/>
    </row>
    <row r="72" spans="1:31" x14ac:dyDescent="0.2">
      <c r="A72" t="s">
        <v>6</v>
      </c>
      <c r="B72" s="2">
        <v>0</v>
      </c>
      <c r="C72">
        <v>5.9999999999999993E-3</v>
      </c>
      <c r="D72">
        <v>1E-3</v>
      </c>
      <c r="E72">
        <v>0.6</v>
      </c>
      <c r="F72">
        <v>0</v>
      </c>
      <c r="G72">
        <v>3.6032206743999997</v>
      </c>
      <c r="H72">
        <v>6.2452002831251414E-2</v>
      </c>
      <c r="I72">
        <v>5.7319862929999994</v>
      </c>
      <c r="J72">
        <v>0.14954146920917064</v>
      </c>
      <c r="K72">
        <v>1.6296365625474829</v>
      </c>
      <c r="L72">
        <v>3.0014168815989797E-2</v>
      </c>
      <c r="M72">
        <v>2.0888515571714747</v>
      </c>
      <c r="N72">
        <v>0.23282046566692008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4.9121782895023881E-4</v>
      </c>
      <c r="V72">
        <v>8.508142373254917E-4</v>
      </c>
      <c r="W72" s="1">
        <v>0</v>
      </c>
      <c r="X72" s="1">
        <v>0</v>
      </c>
      <c r="Y72">
        <v>8.4302370735089491E-3</v>
      </c>
      <c r="Z72">
        <v>1.4601598931168264E-2</v>
      </c>
      <c r="AA72">
        <v>0</v>
      </c>
      <c r="AB72">
        <v>0</v>
      </c>
      <c r="AC72">
        <v>0</v>
      </c>
      <c r="AD72">
        <v>0</v>
      </c>
      <c r="AE72" s="1"/>
    </row>
    <row r="73" spans="1:31" x14ac:dyDescent="0.2">
      <c r="A73" t="s">
        <v>6</v>
      </c>
      <c r="B73" s="2">
        <v>21</v>
      </c>
      <c r="C73">
        <v>9.0666666666666673E-2</v>
      </c>
      <c r="D73">
        <v>4.1932485418030421E-2</v>
      </c>
      <c r="E73">
        <v>1.2466666666666668</v>
      </c>
      <c r="F73">
        <v>0.31262330900515595</v>
      </c>
      <c r="G73">
        <v>5.0614060136666668</v>
      </c>
      <c r="H73">
        <v>0.99909870719170379</v>
      </c>
      <c r="I73">
        <v>5.5342195439999999</v>
      </c>
      <c r="J73">
        <v>0.16648664945218292</v>
      </c>
      <c r="K73">
        <v>1.8513898741281209</v>
      </c>
      <c r="L73">
        <v>9.1360158220150423E-2</v>
      </c>
      <c r="M73">
        <v>2.1844548700189308</v>
      </c>
      <c r="N73">
        <v>0.16533706383584568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9.425214878385961E-2</v>
      </c>
      <c r="V73">
        <v>4.9368294045680425E-2</v>
      </c>
      <c r="W73" s="1">
        <v>0</v>
      </c>
      <c r="X73" s="1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s="1"/>
    </row>
    <row r="74" spans="1:31" x14ac:dyDescent="0.2">
      <c r="A74" t="s">
        <v>6</v>
      </c>
      <c r="B74" s="2">
        <v>28</v>
      </c>
      <c r="C74">
        <v>0.12266666666666666</v>
      </c>
      <c r="D74">
        <v>1.4011899704655805E-2</v>
      </c>
      <c r="E74">
        <v>1.62</v>
      </c>
      <c r="F74">
        <v>0.21071307505705478</v>
      </c>
      <c r="G74">
        <v>6.2874930000000004</v>
      </c>
      <c r="H74">
        <v>0.9161406992662221</v>
      </c>
      <c r="I74">
        <v>4.8097756666666669</v>
      </c>
      <c r="J74">
        <v>0.13553367363623445</v>
      </c>
      <c r="K74">
        <v>2.0806048563333337</v>
      </c>
      <c r="L74">
        <v>2.5834804737979302E-2</v>
      </c>
      <c r="M74">
        <v>2.0571309716666666</v>
      </c>
      <c r="N74">
        <v>0.12059761045197993</v>
      </c>
      <c r="O74">
        <v>3.1376597666666665E-2</v>
      </c>
      <c r="P74">
        <v>2.3872310079697634E-3</v>
      </c>
      <c r="Q74">
        <v>2.8751328666666662E-2</v>
      </c>
      <c r="R74">
        <v>2.0681189279652982E-3</v>
      </c>
      <c r="S74">
        <v>5.7211636666666676E-3</v>
      </c>
      <c r="T74">
        <v>2.875410634895879E-3</v>
      </c>
      <c r="U74">
        <v>0.22146473033333336</v>
      </c>
      <c r="V74">
        <v>4.3066417571984456E-2</v>
      </c>
      <c r="W74" s="1">
        <v>0</v>
      </c>
      <c r="X74" s="1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s="1"/>
    </row>
    <row r="75" spans="1:31" x14ac:dyDescent="0.2">
      <c r="A75" t="s">
        <v>6</v>
      </c>
      <c r="B75" s="2">
        <v>45</v>
      </c>
      <c r="C75">
        <v>0.19666666666666666</v>
      </c>
      <c r="D75">
        <v>3.5118845842842604E-2</v>
      </c>
      <c r="E75">
        <v>2.9933333333333336</v>
      </c>
      <c r="F75">
        <v>0.37806525010020431</v>
      </c>
      <c r="G75">
        <v>12.642247881400001</v>
      </c>
      <c r="H75">
        <v>1.4541932204995338</v>
      </c>
      <c r="I75">
        <v>4.4163653549999999</v>
      </c>
      <c r="J75">
        <v>0.32951297812761904</v>
      </c>
      <c r="K75">
        <v>2.0937535537141674</v>
      </c>
      <c r="L75">
        <v>5.6605873249663763E-2</v>
      </c>
      <c r="M75">
        <v>1.6648372675259109</v>
      </c>
      <c r="N75">
        <v>0.14025817661767701</v>
      </c>
      <c r="O75">
        <v>1.6647478285926524E-3</v>
      </c>
      <c r="P75">
        <v>2.8834278209124388E-3</v>
      </c>
      <c r="Q75">
        <v>4.5661135490350944E-3</v>
      </c>
      <c r="R75">
        <v>4.1979669379366286E-3</v>
      </c>
      <c r="S75">
        <v>0</v>
      </c>
      <c r="T75">
        <v>0</v>
      </c>
      <c r="U75">
        <v>0.50860981583746545</v>
      </c>
      <c r="V75">
        <v>8.1584762833310343E-2</v>
      </c>
      <c r="W75" s="1">
        <v>0</v>
      </c>
      <c r="X75" s="1">
        <v>0</v>
      </c>
      <c r="Y75">
        <v>2.0956748197281295E-4</v>
      </c>
      <c r="Z75">
        <v>3.6298152639118684E-4</v>
      </c>
      <c r="AA75">
        <v>0.15270430953297701</v>
      </c>
      <c r="AB75">
        <v>5.2325264818839243E-2</v>
      </c>
      <c r="AC75">
        <v>0</v>
      </c>
      <c r="AD75">
        <v>0</v>
      </c>
      <c r="AE75" s="1"/>
    </row>
    <row r="76" spans="1:31" x14ac:dyDescent="0.2">
      <c r="A76" t="s">
        <v>6</v>
      </c>
      <c r="B76" s="2">
        <v>52</v>
      </c>
      <c r="C76">
        <v>9.0000000000000011E-2</v>
      </c>
      <c r="D76">
        <v>1.7320508075688822E-2</v>
      </c>
      <c r="E76">
        <v>3.0866666666666664</v>
      </c>
      <c r="F76">
        <v>0.2663331247391757</v>
      </c>
      <c r="G76">
        <v>14.25981</v>
      </c>
      <c r="H76">
        <v>1.9649622995620044</v>
      </c>
      <c r="I76">
        <v>3.8254809999999999</v>
      </c>
      <c r="J76">
        <v>0.24119058580093861</v>
      </c>
      <c r="K76">
        <v>2.4715948756666664</v>
      </c>
      <c r="L76">
        <v>0.25002487195139411</v>
      </c>
      <c r="M76">
        <v>1.6984421963333334</v>
      </c>
      <c r="N76">
        <v>0.23348733931881713</v>
      </c>
      <c r="O76">
        <v>7.2322900333333329E-2</v>
      </c>
      <c r="P76">
        <v>1.0964716562997155E-2</v>
      </c>
      <c r="Q76">
        <v>6.3344435666666671E-2</v>
      </c>
      <c r="R76">
        <v>1.1886718536904E-2</v>
      </c>
      <c r="S76">
        <v>3.2030562666666672E-2</v>
      </c>
      <c r="T76">
        <v>9.9724856631677426E-3</v>
      </c>
      <c r="U76">
        <v>0.68150671666666662</v>
      </c>
      <c r="V76">
        <v>0.13138377848976071</v>
      </c>
      <c r="W76" s="1">
        <v>0</v>
      </c>
      <c r="X76" s="1">
        <v>0</v>
      </c>
      <c r="Y76">
        <v>1.0956253666666665E-2</v>
      </c>
      <c r="Z76">
        <v>9.0547961296226498E-3</v>
      </c>
      <c r="AA76">
        <v>0.28468765466666668</v>
      </c>
      <c r="AB76">
        <v>6.9033110096492004E-2</v>
      </c>
      <c r="AC76">
        <v>0</v>
      </c>
      <c r="AD76">
        <v>0</v>
      </c>
      <c r="AE76" s="1"/>
    </row>
    <row r="77" spans="1:31" x14ac:dyDescent="0.2">
      <c r="A77" t="s">
        <v>6</v>
      </c>
      <c r="B77" s="2">
        <v>69</v>
      </c>
      <c r="C77">
        <v>0.17</v>
      </c>
      <c r="D77">
        <v>9.999999999999995E-3</v>
      </c>
      <c r="E77">
        <v>1.0266666666666666</v>
      </c>
      <c r="F77">
        <v>0.11547005383792512</v>
      </c>
      <c r="G77">
        <v>16.808490365199997</v>
      </c>
      <c r="H77">
        <v>0.98661263208041672</v>
      </c>
      <c r="I77">
        <v>3.7086730473333334</v>
      </c>
      <c r="J77">
        <v>0.1898545179529455</v>
      </c>
      <c r="K77">
        <v>2.4300500604036928</v>
      </c>
      <c r="L77">
        <v>0.26943785914782797</v>
      </c>
      <c r="M77">
        <v>1.5437087031144134</v>
      </c>
      <c r="N77">
        <v>0.15727784844736031</v>
      </c>
      <c r="O77">
        <v>1.6920879253489295E-2</v>
      </c>
      <c r="P77">
        <v>9.7613790180692845E-3</v>
      </c>
      <c r="Q77">
        <v>3.2248812311169842E-2</v>
      </c>
      <c r="R77">
        <v>8.9754441367553821E-3</v>
      </c>
      <c r="S77">
        <v>0</v>
      </c>
      <c r="T77">
        <v>0</v>
      </c>
      <c r="U77">
        <v>0.73536640800777808</v>
      </c>
      <c r="V77">
        <v>9.0403077965506076E-2</v>
      </c>
      <c r="W77" s="1">
        <v>0</v>
      </c>
      <c r="X77" s="1">
        <v>0</v>
      </c>
      <c r="Y77">
        <v>2.5693289127243887E-2</v>
      </c>
      <c r="Z77">
        <v>1.0407239333965135E-2</v>
      </c>
      <c r="AA77">
        <v>0.3775740086274732</v>
      </c>
      <c r="AB77">
        <v>6.6717016802780055E-2</v>
      </c>
      <c r="AC77">
        <v>0</v>
      </c>
      <c r="AD77">
        <v>0</v>
      </c>
      <c r="AE77" s="1"/>
    </row>
    <row r="78" spans="1:31" x14ac:dyDescent="0.2">
      <c r="A78" t="s">
        <v>6</v>
      </c>
      <c r="B78" s="2">
        <v>76</v>
      </c>
      <c r="C78">
        <v>0.27333333333333337</v>
      </c>
      <c r="D78">
        <v>2.0816659994661323E-2</v>
      </c>
      <c r="E78">
        <v>1.5266666666666666</v>
      </c>
      <c r="F78">
        <v>0.10263202878893765</v>
      </c>
      <c r="G78">
        <v>19.711656666666666</v>
      </c>
      <c r="H78">
        <v>2.1823069195769262</v>
      </c>
      <c r="I78">
        <v>2.9722156666666666</v>
      </c>
      <c r="J78">
        <v>0.2006162975740837</v>
      </c>
      <c r="K78">
        <v>2.7163749856666666</v>
      </c>
      <c r="L78">
        <v>0.28887145647155488</v>
      </c>
      <c r="M78">
        <v>1.409519696</v>
      </c>
      <c r="N78">
        <v>0.27968075317413416</v>
      </c>
      <c r="O78">
        <v>8.9178817666666674E-2</v>
      </c>
      <c r="P78">
        <v>9.4970483633967755E-3</v>
      </c>
      <c r="Q78">
        <v>9.4862350666666664E-2</v>
      </c>
      <c r="R78">
        <v>5.8922548972280856E-3</v>
      </c>
      <c r="S78">
        <v>5.7961727999999997E-2</v>
      </c>
      <c r="T78">
        <v>9.256801225514635E-3</v>
      </c>
      <c r="U78">
        <v>0.87878181499999997</v>
      </c>
      <c r="V78">
        <v>0.14633206244299135</v>
      </c>
      <c r="W78" s="1">
        <v>0</v>
      </c>
      <c r="X78" s="1">
        <v>0</v>
      </c>
      <c r="Y78">
        <v>5.2837754333333327E-2</v>
      </c>
      <c r="Z78">
        <v>7.1937568694637145E-3</v>
      </c>
      <c r="AA78">
        <v>0.58065877066666671</v>
      </c>
      <c r="AB78">
        <v>7.6577888332285168E-2</v>
      </c>
      <c r="AC78">
        <v>0</v>
      </c>
      <c r="AD78">
        <v>0</v>
      </c>
      <c r="AE78" s="1"/>
    </row>
    <row r="79" spans="1:31" x14ac:dyDescent="0.2">
      <c r="A79" t="s">
        <v>6</v>
      </c>
      <c r="B79" s="2">
        <v>92</v>
      </c>
      <c r="C79">
        <v>0.55333333333333334</v>
      </c>
      <c r="D79">
        <v>3.5118845842842437E-2</v>
      </c>
      <c r="E79">
        <v>2.5266666666666668</v>
      </c>
      <c r="F79">
        <v>6.1101009266077921E-2</v>
      </c>
      <c r="G79">
        <v>24.284669502266667</v>
      </c>
      <c r="H79">
        <v>1.4167368583094604</v>
      </c>
      <c r="I79">
        <v>1.9813423136666668</v>
      </c>
      <c r="J79">
        <v>0.3911392666945121</v>
      </c>
      <c r="K79">
        <v>2.480969433502938</v>
      </c>
      <c r="L79">
        <v>0.21272227431533045</v>
      </c>
      <c r="M79">
        <v>0.98135829647483419</v>
      </c>
      <c r="N79">
        <v>3.6659860588592177E-2</v>
      </c>
      <c r="O79">
        <v>4.7173443196345054E-2</v>
      </c>
      <c r="P79">
        <v>9.7443468943216038E-3</v>
      </c>
      <c r="Q79">
        <v>0.10597708818376407</v>
      </c>
      <c r="R79">
        <v>2.2812446421472388E-2</v>
      </c>
      <c r="S79">
        <v>5.1398348655021443E-2</v>
      </c>
      <c r="T79">
        <v>1.1086005297022103E-2</v>
      </c>
      <c r="U79">
        <v>0.89049679122778314</v>
      </c>
      <c r="V79">
        <v>2.0565242634915947E-2</v>
      </c>
      <c r="W79" s="1">
        <v>0</v>
      </c>
      <c r="X79" s="1">
        <v>0</v>
      </c>
      <c r="Y79">
        <v>0.11521330488121025</v>
      </c>
      <c r="Z79">
        <v>3.1006928572045952E-2</v>
      </c>
      <c r="AA79">
        <v>0.89043262425225789</v>
      </c>
      <c r="AB79">
        <v>7.6442962718223734E-2</v>
      </c>
      <c r="AC79">
        <v>0</v>
      </c>
      <c r="AD79">
        <v>0</v>
      </c>
      <c r="AE79" s="1"/>
    </row>
    <row r="80" spans="1:31" x14ac:dyDescent="0.2">
      <c r="A80" t="s">
        <v>6</v>
      </c>
      <c r="B80" s="2">
        <v>100</v>
      </c>
      <c r="C80">
        <v>0.69666666666666666</v>
      </c>
      <c r="D80">
        <v>2.8867513459481249E-2</v>
      </c>
      <c r="E80">
        <v>2.9266666666666663</v>
      </c>
      <c r="F80">
        <v>0.17473789896108224</v>
      </c>
      <c r="G80">
        <v>28.009523333333334</v>
      </c>
      <c r="H80">
        <v>1.6135218439901378</v>
      </c>
      <c r="I80">
        <v>1.7265233333333334</v>
      </c>
      <c r="J80">
        <v>0.16378251958720547</v>
      </c>
      <c r="K80">
        <v>2.7908497449999996</v>
      </c>
      <c r="L80">
        <v>0.12772404300358214</v>
      </c>
      <c r="M80">
        <v>0.89078267666666677</v>
      </c>
      <c r="N80">
        <v>0.15232665679989879</v>
      </c>
      <c r="O80">
        <v>0.13142871766666667</v>
      </c>
      <c r="P80">
        <v>6.4238828154858426E-3</v>
      </c>
      <c r="Q80">
        <v>0.20457893566666666</v>
      </c>
      <c r="R80">
        <v>3.9147492418353299E-3</v>
      </c>
      <c r="S80">
        <v>0.15533145833333331</v>
      </c>
      <c r="T80">
        <v>1.323869946153323E-2</v>
      </c>
      <c r="U80">
        <v>1.0894693186666666</v>
      </c>
      <c r="V80">
        <v>0.1169382459743297</v>
      </c>
      <c r="W80" s="1">
        <v>0</v>
      </c>
      <c r="X80" s="1">
        <v>0</v>
      </c>
      <c r="Y80">
        <v>0.20107213800000001</v>
      </c>
      <c r="Z80">
        <v>2.1405249898132094E-2</v>
      </c>
      <c r="AA80">
        <v>1.2547346043333334</v>
      </c>
      <c r="AB80">
        <v>5.9679173719228928E-2</v>
      </c>
      <c r="AC80">
        <v>0</v>
      </c>
      <c r="AD80">
        <v>0</v>
      </c>
      <c r="AE80" s="1"/>
    </row>
    <row r="81" spans="1:31" x14ac:dyDescent="0.2">
      <c r="A81" t="s">
        <v>6</v>
      </c>
      <c r="B81" s="2">
        <v>117</v>
      </c>
      <c r="C81">
        <v>0.86</v>
      </c>
      <c r="D81">
        <v>7.0000000000000007E-2</v>
      </c>
      <c r="E81">
        <v>2.98</v>
      </c>
      <c r="F81">
        <v>0.26907248094147423</v>
      </c>
      <c r="G81" t="s">
        <v>2</v>
      </c>
      <c r="H81" t="s">
        <v>2</v>
      </c>
      <c r="I81" t="s">
        <v>2</v>
      </c>
      <c r="J81" t="s">
        <v>2</v>
      </c>
      <c r="K81">
        <v>2.3562028496422975</v>
      </c>
      <c r="L81">
        <v>0.17327124876086017</v>
      </c>
      <c r="M81">
        <v>0.62434751960486579</v>
      </c>
      <c r="N81">
        <v>6.7680131185080789E-2</v>
      </c>
      <c r="O81">
        <v>9.2354251696460651E-2</v>
      </c>
      <c r="P81">
        <v>6.7973636613793834E-3</v>
      </c>
      <c r="Q81">
        <v>0.22587255146221716</v>
      </c>
      <c r="R81">
        <v>3.9997104311185472E-2</v>
      </c>
      <c r="S81">
        <v>0.19108508565180768</v>
      </c>
      <c r="T81">
        <v>2.4568498159376121E-2</v>
      </c>
      <c r="U81">
        <v>0.97394087611669156</v>
      </c>
      <c r="V81">
        <v>8.3444921793963973E-3</v>
      </c>
      <c r="W81" s="1">
        <v>0</v>
      </c>
      <c r="X81" s="1">
        <v>0</v>
      </c>
      <c r="Y81">
        <v>0.28090941329481589</v>
      </c>
      <c r="Z81">
        <v>4.7319573715249572E-2</v>
      </c>
      <c r="AA81">
        <v>1.4243407894677791</v>
      </c>
      <c r="AB81">
        <v>5.5474132211613632E-2</v>
      </c>
      <c r="AC81">
        <v>0</v>
      </c>
      <c r="AD81">
        <v>0</v>
      </c>
      <c r="AE81" s="1"/>
    </row>
    <row r="82" spans="1:31" x14ac:dyDescent="0.2">
      <c r="A82" t="s">
        <v>6</v>
      </c>
      <c r="B82" s="2">
        <v>142</v>
      </c>
      <c r="C82">
        <v>1.0633333333333332</v>
      </c>
      <c r="D82">
        <v>0.10692676621563624</v>
      </c>
      <c r="E82">
        <v>2.9133333333333336</v>
      </c>
      <c r="F82">
        <v>0.34019602192461523</v>
      </c>
      <c r="G82">
        <v>42.322236666666669</v>
      </c>
      <c r="H82">
        <v>1.3424889387005503</v>
      </c>
      <c r="I82">
        <v>0.85832800000000009</v>
      </c>
      <c r="J82">
        <v>4.4247393968458761E-2</v>
      </c>
      <c r="K82">
        <v>2.5359384476666667</v>
      </c>
      <c r="L82">
        <v>0.30411830317203614</v>
      </c>
      <c r="M82">
        <v>0.5773860793333333</v>
      </c>
      <c r="N82">
        <v>0.11390623426027063</v>
      </c>
      <c r="O82">
        <v>0.23449247500000001</v>
      </c>
      <c r="P82">
        <v>2.6815788371957312E-2</v>
      </c>
      <c r="Q82">
        <v>0.39921765300000001</v>
      </c>
      <c r="R82">
        <v>5.335773993641893E-2</v>
      </c>
      <c r="S82">
        <v>0.46657524433333331</v>
      </c>
      <c r="T82">
        <v>5.2313223944422317E-2</v>
      </c>
      <c r="U82">
        <v>1.1438482649999999</v>
      </c>
      <c r="V82">
        <v>0.13386394423309028</v>
      </c>
      <c r="W82" s="1">
        <v>0</v>
      </c>
      <c r="X82" s="1">
        <v>0</v>
      </c>
      <c r="Y82">
        <v>0.53409497366666669</v>
      </c>
      <c r="Z82">
        <v>8.9414589156069341E-2</v>
      </c>
      <c r="AA82">
        <v>1.921189869</v>
      </c>
      <c r="AB82">
        <v>6.2670154844731818E-2</v>
      </c>
      <c r="AC82">
        <v>0.18745237200000001</v>
      </c>
      <c r="AD82">
        <v>6.3346026533348199E-2</v>
      </c>
      <c r="AE82" s="1"/>
    </row>
    <row r="83" spans="1:31" x14ac:dyDescent="0.2">
      <c r="A83" t="s">
        <v>6</v>
      </c>
      <c r="B83" s="2">
        <v>168</v>
      </c>
      <c r="C83">
        <v>1.1166666666666665</v>
      </c>
      <c r="D83">
        <v>9.6090235369330451E-2</v>
      </c>
      <c r="E83">
        <v>2.9</v>
      </c>
      <c r="F83">
        <v>0.33286633954186468</v>
      </c>
      <c r="G83">
        <v>48.675539999999991</v>
      </c>
      <c r="H83">
        <v>1.4744339826523267</v>
      </c>
      <c r="I83">
        <v>0.66807000000000005</v>
      </c>
      <c r="J83">
        <v>3.4272053936115335E-2</v>
      </c>
      <c r="K83">
        <v>1.9734902016666667</v>
      </c>
      <c r="L83">
        <v>0.30988654437095614</v>
      </c>
      <c r="M83">
        <v>0.44810088566666667</v>
      </c>
      <c r="N83">
        <v>0.11181861575773919</v>
      </c>
      <c r="O83">
        <v>0.29195925533333333</v>
      </c>
      <c r="P83">
        <v>1.7785796267054614E-2</v>
      </c>
      <c r="Q83">
        <v>0.40553633799999994</v>
      </c>
      <c r="R83">
        <v>3.2941077639507654E-2</v>
      </c>
      <c r="S83">
        <v>0.59784559999999998</v>
      </c>
      <c r="T83">
        <v>4.7505026832911641E-2</v>
      </c>
      <c r="U83">
        <v>1.0467608713333334</v>
      </c>
      <c r="V83">
        <v>0.183377179392434</v>
      </c>
      <c r="W83" s="1">
        <v>0</v>
      </c>
      <c r="X83" s="1">
        <v>0</v>
      </c>
      <c r="Y83">
        <v>0.62370111699999997</v>
      </c>
      <c r="Z83">
        <v>4.5449327923584831E-2</v>
      </c>
      <c r="AA83">
        <v>2.0476950343333336</v>
      </c>
      <c r="AB83">
        <v>0.19153105179173779</v>
      </c>
      <c r="AC83">
        <v>0.30249050300000002</v>
      </c>
      <c r="AD83">
        <v>6.5276467057301099E-2</v>
      </c>
      <c r="AE83" s="1"/>
    </row>
    <row r="84" spans="1:31" x14ac:dyDescent="0.2">
      <c r="A84" t="s">
        <v>6</v>
      </c>
      <c r="B84" s="2">
        <v>190</v>
      </c>
      <c r="C84">
        <v>1.0766666666666669</v>
      </c>
      <c r="D84">
        <v>4.1633319989322688E-2</v>
      </c>
      <c r="E84">
        <v>2.9866666666666668</v>
      </c>
      <c r="F84">
        <v>0.29955522584881278</v>
      </c>
      <c r="G84">
        <v>54.636989999999997</v>
      </c>
      <c r="H84">
        <v>1.6740356560121401</v>
      </c>
      <c r="I84">
        <v>0.60632700000000006</v>
      </c>
      <c r="J84">
        <v>2.1956776880954085E-2</v>
      </c>
      <c r="K84">
        <v>1.8825265656666668</v>
      </c>
      <c r="L84">
        <v>0.28715858602044886</v>
      </c>
      <c r="M84">
        <v>0.4301415263333333</v>
      </c>
      <c r="N84">
        <v>3.2852195755513881E-2</v>
      </c>
      <c r="O84">
        <v>0.38154724733333339</v>
      </c>
      <c r="P84">
        <v>8.4360628965796672E-2</v>
      </c>
      <c r="Q84">
        <v>0.43136719633333326</v>
      </c>
      <c r="R84">
        <v>8.2095003543656439E-2</v>
      </c>
      <c r="S84">
        <v>0.72560629766666673</v>
      </c>
      <c r="T84">
        <v>0.11176992960215462</v>
      </c>
      <c r="U84">
        <v>1.0521016193333332</v>
      </c>
      <c r="V84">
        <v>7.1511124195617129E-2</v>
      </c>
      <c r="W84" s="1">
        <v>0</v>
      </c>
      <c r="X84" s="1">
        <v>0</v>
      </c>
      <c r="Y84">
        <v>0.73609794366666659</v>
      </c>
      <c r="Z84">
        <v>0.18439545962022788</v>
      </c>
      <c r="AA84">
        <v>2.3217081140000002</v>
      </c>
      <c r="AB84">
        <v>0.22289877012253548</v>
      </c>
      <c r="AC84">
        <v>0.39671043666666667</v>
      </c>
      <c r="AD84">
        <v>0.12357969073357722</v>
      </c>
      <c r="AE84" s="1"/>
    </row>
    <row r="85" spans="1:31" x14ac:dyDescent="0.2">
      <c r="A85" t="s">
        <v>6</v>
      </c>
      <c r="B85" s="2">
        <v>240</v>
      </c>
      <c r="C85">
        <v>0.93</v>
      </c>
      <c r="D85">
        <v>1.7320508075688724E-2</v>
      </c>
      <c r="E85" t="s">
        <v>2</v>
      </c>
      <c r="F85" t="s">
        <v>2</v>
      </c>
      <c r="G85">
        <v>63.744529999999997</v>
      </c>
      <c r="H85">
        <v>0.60189428573463066</v>
      </c>
      <c r="I85">
        <v>0.53890608188302103</v>
      </c>
      <c r="J85">
        <v>1.0219072994842735E-2</v>
      </c>
      <c r="K85">
        <v>1.7480855889999998</v>
      </c>
      <c r="L85">
        <v>0.13638023181240932</v>
      </c>
      <c r="M85">
        <v>0.38851238833333329</v>
      </c>
      <c r="N85">
        <v>1.4088368371246622E-2</v>
      </c>
      <c r="O85">
        <v>0.45409635700000001</v>
      </c>
      <c r="P85">
        <v>3.7367535895358642E-2</v>
      </c>
      <c r="Q85">
        <v>0.42057034399999998</v>
      </c>
      <c r="R85">
        <v>4.0766856898405847E-2</v>
      </c>
      <c r="S85">
        <v>0.75855117066666666</v>
      </c>
      <c r="T85">
        <v>5.0885205671246166E-2</v>
      </c>
      <c r="U85">
        <v>0.99824273299999999</v>
      </c>
      <c r="V85">
        <v>6.1112393725956747E-2</v>
      </c>
      <c r="W85" s="1">
        <v>0</v>
      </c>
      <c r="X85" s="1">
        <v>0</v>
      </c>
      <c r="Y85">
        <v>0.76870893333333334</v>
      </c>
      <c r="Z85">
        <v>0.1071881090050775</v>
      </c>
      <c r="AA85">
        <v>2.455489897333333</v>
      </c>
      <c r="AB85">
        <v>0.20367387963063269</v>
      </c>
      <c r="AC85">
        <v>0.43766834566666662</v>
      </c>
      <c r="AD85">
        <v>8.8926702004833172E-2</v>
      </c>
      <c r="AE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Semilong_replicates</vt:lpstr>
      <vt:lpstr>Semilong_averages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Blake Lindner</cp:lastModifiedBy>
  <cp:revision/>
  <dcterms:created xsi:type="dcterms:W3CDTF">2025-02-25T18:23:23Z</dcterms:created>
  <dcterms:modified xsi:type="dcterms:W3CDTF">2026-10-23T19:09:05Z</dcterms:modified>
  <cp:category/>
  <cp:contentStatus/>
</cp:coreProperties>
</file>