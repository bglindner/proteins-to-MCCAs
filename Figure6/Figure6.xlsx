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indner/Desktop/"/>
    </mc:Choice>
  </mc:AlternateContent>
  <xr:revisionPtr revIDLastSave="0" documentId="13_ncr:1_{6773B8EC-9E31-E84D-9B49-C5EE795A1FE6}" xr6:coauthVersionLast="47" xr6:coauthVersionMax="47" xr10:uidLastSave="{00000000-0000-0000-0000-000000000000}"/>
  <bookViews>
    <workbookView xWindow="0" yWindow="500" windowWidth="25600" windowHeight="13860" activeTab="2" xr2:uid="{6529860A-8C1F-6B46-AD0D-D2F7406E8AFD}"/>
  </bookViews>
  <sheets>
    <sheet name="metagenomes" sheetId="1" r:id="rId1"/>
    <sheet name="foodwaste" sheetId="2" r:id="rId2"/>
    <sheet name="dai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5" i="3" l="1"/>
  <c r="U55" i="3" s="1"/>
  <c r="S55" i="3"/>
  <c r="Q55" i="3"/>
  <c r="U54" i="3"/>
  <c r="T54" i="3"/>
  <c r="S54" i="3"/>
  <c r="Q54" i="3"/>
  <c r="T53" i="3"/>
  <c r="U53" i="3" s="1"/>
  <c r="S53" i="3"/>
  <c r="Q53" i="3"/>
  <c r="T28" i="3"/>
  <c r="U28" i="3" s="1"/>
  <c r="R28" i="3" s="1"/>
  <c r="S28" i="3"/>
  <c r="Q28" i="3"/>
  <c r="T27" i="3"/>
  <c r="U27" i="3" s="1"/>
  <c r="R27" i="3" s="1"/>
  <c r="S27" i="3"/>
  <c r="Q27" i="3"/>
  <c r="U26" i="3"/>
  <c r="R26" i="3" s="1"/>
  <c r="T26" i="3"/>
  <c r="S26" i="3"/>
  <c r="Q26" i="3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2" i="1"/>
</calcChain>
</file>

<file path=xl/sharedStrings.xml><?xml version="1.0" encoding="utf-8"?>
<sst xmlns="http://schemas.openxmlformats.org/spreadsheetml/2006/main" count="6327" uniqueCount="526">
  <si>
    <t>relative_abundance</t>
  </si>
  <si>
    <t>env_note</t>
  </si>
  <si>
    <t>pig gut</t>
  </si>
  <si>
    <t>rumen</t>
  </si>
  <si>
    <t>aardvark gut</t>
  </si>
  <si>
    <t>ruminant hindgut</t>
  </si>
  <si>
    <t>human gut</t>
  </si>
  <si>
    <t>mouse gut</t>
  </si>
  <si>
    <t>chicken gut</t>
  </si>
  <si>
    <t>composter</t>
  </si>
  <si>
    <t>unknown</t>
  </si>
  <si>
    <t>primate gut</t>
  </si>
  <si>
    <t>organism</t>
  </si>
  <si>
    <t>PYRU</t>
  </si>
  <si>
    <t>prokaryotic_fraction</t>
  </si>
  <si>
    <t>SRR26909986</t>
  </si>
  <si>
    <t>SRR26909979</t>
  </si>
  <si>
    <t>SRR26909968</t>
  </si>
  <si>
    <t>SRR26909967</t>
  </si>
  <si>
    <t>SRR16377060</t>
  </si>
  <si>
    <t>SRR11702762</t>
  </si>
  <si>
    <t>SRR8959053</t>
  </si>
  <si>
    <t>SRR16377042</t>
  </si>
  <si>
    <t>SRR16377061</t>
  </si>
  <si>
    <t>SRR16377716</t>
  </si>
  <si>
    <t>SRR31066036</t>
  </si>
  <si>
    <t>SRR22355906</t>
  </si>
  <si>
    <t>SRR31066179</t>
  </si>
  <si>
    <t>SRR30309634</t>
  </si>
  <si>
    <t>SRR10498321</t>
  </si>
  <si>
    <t>SRR16377700</t>
  </si>
  <si>
    <t>SRR8942361</t>
  </si>
  <si>
    <t>SRR16484646</t>
  </si>
  <si>
    <t>SRR26926577</t>
  </si>
  <si>
    <t>ERR11569919</t>
  </si>
  <si>
    <t>SRR31066156</t>
  </si>
  <si>
    <t>SRR8942360</t>
  </si>
  <si>
    <t>SRR16377701</t>
  </si>
  <si>
    <t>ERR1430500</t>
  </si>
  <si>
    <t>SRR16381250</t>
  </si>
  <si>
    <t>SRR11702768</t>
  </si>
  <si>
    <t>SRR15732360</t>
  </si>
  <si>
    <t>SRR16379998</t>
  </si>
  <si>
    <t>SRR26926588</t>
  </si>
  <si>
    <t>SRR32182666</t>
  </si>
  <si>
    <t>SRR11702763</t>
  </si>
  <si>
    <t>SRR27911146</t>
  </si>
  <si>
    <t>SRR26926560</t>
  </si>
  <si>
    <t>SRR28001872</t>
  </si>
  <si>
    <t>SRR27558749</t>
  </si>
  <si>
    <t>SRR26926585</t>
  </si>
  <si>
    <t>SRR32182656</t>
  </si>
  <si>
    <t>ERR6395248</t>
  </si>
  <si>
    <t>SRR31066172</t>
  </si>
  <si>
    <t>ERR6222545</t>
  </si>
  <si>
    <t>SRR32182658</t>
  </si>
  <si>
    <t>ERR6222551</t>
  </si>
  <si>
    <t>SRR31097869</t>
  </si>
  <si>
    <t>SRR22050165</t>
  </si>
  <si>
    <t>SRR26926581</t>
  </si>
  <si>
    <t>SRR21376901</t>
  </si>
  <si>
    <t>DRR354928</t>
  </si>
  <si>
    <t>SRR8316687</t>
  </si>
  <si>
    <t>SRR21376889</t>
  </si>
  <si>
    <t>SRR8535205</t>
  </si>
  <si>
    <t>SRR16381173</t>
  </si>
  <si>
    <t>SRR21376890</t>
  </si>
  <si>
    <t>SRR16381462</t>
  </si>
  <si>
    <t>SRR28001878</t>
  </si>
  <si>
    <t>SRR11702758</t>
  </si>
  <si>
    <t>SRR30309637</t>
  </si>
  <si>
    <t>SRR8535202</t>
  </si>
  <si>
    <t>SRR27911159</t>
  </si>
  <si>
    <t>SRR32182660</t>
  </si>
  <si>
    <t>SRR4435564</t>
  </si>
  <si>
    <t>OCT</t>
  </si>
  <si>
    <t>bioreactor</t>
  </si>
  <si>
    <t>landfill</t>
  </si>
  <si>
    <t>sample_acc</t>
  </si>
  <si>
    <t>SRR8960682</t>
  </si>
  <si>
    <t>SRR31546772</t>
  </si>
  <si>
    <t>ERR5671706</t>
  </si>
  <si>
    <t>SRR20632263</t>
  </si>
  <si>
    <t>SRR8960426</t>
  </si>
  <si>
    <t>ERR3275102</t>
  </si>
  <si>
    <t>SRR27277144</t>
  </si>
  <si>
    <t>SRR8960272</t>
  </si>
  <si>
    <t>SRR8960647</t>
  </si>
  <si>
    <t>SRR24915785</t>
  </si>
  <si>
    <t>SRR29381470</t>
  </si>
  <si>
    <t>SRR29381469</t>
  </si>
  <si>
    <t>SRR29381446</t>
  </si>
  <si>
    <t>SRR12793298</t>
  </si>
  <si>
    <t>SRR16327185</t>
  </si>
  <si>
    <t>SRR8960273</t>
  </si>
  <si>
    <t>SRR11185225</t>
  </si>
  <si>
    <t>SRR8960125</t>
  </si>
  <si>
    <t>SRR8960884</t>
  </si>
  <si>
    <t>SRR14774614</t>
  </si>
  <si>
    <t>SRR8960295</t>
  </si>
  <si>
    <t>ERR12022961</t>
  </si>
  <si>
    <t>ERR3275099</t>
  </si>
  <si>
    <t>SRR17241680</t>
  </si>
  <si>
    <t>SRR21376881</t>
  </si>
  <si>
    <t>ERR2282092</t>
  </si>
  <si>
    <t>ERR3211455</t>
  </si>
  <si>
    <t>ERR3275120</t>
  </si>
  <si>
    <t>ERR3275130</t>
  </si>
  <si>
    <t>SRR19633745</t>
  </si>
  <si>
    <t>ERR11773787</t>
  </si>
  <si>
    <t>SRR17241597</t>
  </si>
  <si>
    <t>SRR27277142</t>
  </si>
  <si>
    <t>SRR8960407</t>
  </si>
  <si>
    <t>SRR8960239</t>
  </si>
  <si>
    <t>SRR8960580</t>
  </si>
  <si>
    <t>SRR26820235</t>
  </si>
  <si>
    <t>ERR3275097</t>
  </si>
  <si>
    <t>ERR3224611</t>
  </si>
  <si>
    <t>SRR24882562</t>
  </si>
  <si>
    <t>SRR11124825</t>
  </si>
  <si>
    <t>SRR31546780</t>
  </si>
  <si>
    <t>SRR8960127</t>
  </si>
  <si>
    <t>ERR3224589</t>
  </si>
  <si>
    <t>SRR11185234</t>
  </si>
  <si>
    <t>ERR3275117</t>
  </si>
  <si>
    <t>ERR12418585</t>
  </si>
  <si>
    <t>SRR8960339</t>
  </si>
  <si>
    <t>ERR3275136</t>
  </si>
  <si>
    <t>SRR8960129</t>
  </si>
  <si>
    <t>SRR26629444</t>
  </si>
  <si>
    <t>ERR3211456</t>
  </si>
  <si>
    <t>SRR8960819</t>
  </si>
  <si>
    <t>ERR2027894</t>
  </si>
  <si>
    <t>ERR2027907</t>
  </si>
  <si>
    <t>SRR29381475</t>
  </si>
  <si>
    <t>SRR8960681</t>
  </si>
  <si>
    <t>SRR11126107</t>
  </si>
  <si>
    <t>SRR26629447</t>
  </si>
  <si>
    <t>SRR8960762</t>
  </si>
  <si>
    <t>SRR8960605</t>
  </si>
  <si>
    <t>SRR11185253</t>
  </si>
  <si>
    <t>SRR8960158</t>
  </si>
  <si>
    <t>SRR16327188</t>
  </si>
  <si>
    <t>SRR17241613</t>
  </si>
  <si>
    <t>SRR8960734</t>
  </si>
  <si>
    <t>SRR17241617</t>
  </si>
  <si>
    <t>SRR24882565</t>
  </si>
  <si>
    <t>SRR11183446</t>
  </si>
  <si>
    <t>ERR3224610</t>
  </si>
  <si>
    <t>SRR8960616</t>
  </si>
  <si>
    <t>SRR8960703</t>
  </si>
  <si>
    <t>SRR8960736</t>
  </si>
  <si>
    <t>SRR24882561</t>
  </si>
  <si>
    <t>SRR11126101</t>
  </si>
  <si>
    <t>SRR11124819</t>
  </si>
  <si>
    <t>ERR12021347</t>
  </si>
  <si>
    <t>ERR3275110</t>
  </si>
  <si>
    <t>ERR3211442</t>
  </si>
  <si>
    <t>SRR11183858</t>
  </si>
  <si>
    <t>SRR25936341</t>
  </si>
  <si>
    <t>SRR22560189</t>
  </si>
  <si>
    <t>ERR3648605</t>
  </si>
  <si>
    <t>SRR8960340</t>
  </si>
  <si>
    <t>ERR3275137</t>
  </si>
  <si>
    <t>SRR26629425</t>
  </si>
  <si>
    <t>ERR3275138</t>
  </si>
  <si>
    <t>SRR8960719</t>
  </si>
  <si>
    <t>SRR24882566</t>
  </si>
  <si>
    <t>SRR8960406</t>
  </si>
  <si>
    <t>ERR11773843</t>
  </si>
  <si>
    <t>SRR8960477</t>
  </si>
  <si>
    <t>SRR6874855</t>
  </si>
  <si>
    <t>SRR8960441</t>
  </si>
  <si>
    <t>SRR11185232</t>
  </si>
  <si>
    <t>SRR17241651</t>
  </si>
  <si>
    <t>ERR2027895</t>
  </si>
  <si>
    <t>ERR12021903</t>
  </si>
  <si>
    <t>SRR17241646</t>
  </si>
  <si>
    <t>SRR8960574</t>
  </si>
  <si>
    <t>SRR29381443</t>
  </si>
  <si>
    <t>SRR26064501</t>
  </si>
  <si>
    <t>SRR17241615</t>
  </si>
  <si>
    <t>SRR27361890</t>
  </si>
  <si>
    <t>SRR26820240</t>
  </si>
  <si>
    <t>ERR3275109</t>
  </si>
  <si>
    <t>SRR8960579</t>
  </si>
  <si>
    <t>SRR873595</t>
  </si>
  <si>
    <t>SRR8960225</t>
  </si>
  <si>
    <t>SRR6874850</t>
  </si>
  <si>
    <t>SRR6874852</t>
  </si>
  <si>
    <t>SRR5240743</t>
  </si>
  <si>
    <t>ERR1855550</t>
  </si>
  <si>
    <t>SRR24891246</t>
  </si>
  <si>
    <t>SRR8960970</t>
  </si>
  <si>
    <t>SRR8960510</t>
  </si>
  <si>
    <t>SRR30229067</t>
  </si>
  <si>
    <t>SRR24891237</t>
  </si>
  <si>
    <t>ERR11773733</t>
  </si>
  <si>
    <t>SRR28751643</t>
  </si>
  <si>
    <t>SRR8960804</t>
  </si>
  <si>
    <t>ERR3275121</t>
  </si>
  <si>
    <t>SRR25936418</t>
  </si>
  <si>
    <t>ERR3275135</t>
  </si>
  <si>
    <t>ERR2027904</t>
  </si>
  <si>
    <t>SRR11126064</t>
  </si>
  <si>
    <t>SRR8960143</t>
  </si>
  <si>
    <t>SRR11125697</t>
  </si>
  <si>
    <t>SRR8960676</t>
  </si>
  <si>
    <t>SRR24882559</t>
  </si>
  <si>
    <t>SRR8960418</t>
  </si>
  <si>
    <t>SRR29381442</t>
  </si>
  <si>
    <t>SRR31242603</t>
  </si>
  <si>
    <t>ERR5684191</t>
  </si>
  <si>
    <t>ERR3211471</t>
  </si>
  <si>
    <t>SRR11125279</t>
  </si>
  <si>
    <t>SRR22355896</t>
  </si>
  <si>
    <t>SRR8960675</t>
  </si>
  <si>
    <t>SRR32387116</t>
  </si>
  <si>
    <t>SRR5190248</t>
  </si>
  <si>
    <t>SRR11183308</t>
  </si>
  <si>
    <t>SRR24882552</t>
  </si>
  <si>
    <t>SRR24882564</t>
  </si>
  <si>
    <t>ERR3224569</t>
  </si>
  <si>
    <t>SRR29267525</t>
  </si>
  <si>
    <t>SRR8960888</t>
  </si>
  <si>
    <t>SRR17241520</t>
  </si>
  <si>
    <t>SRR16327199</t>
  </si>
  <si>
    <t>ERR3275103</t>
  </si>
  <si>
    <t>SRR11124776</t>
  </si>
  <si>
    <t>SRR8960252</t>
  </si>
  <si>
    <t>SRR24891229</t>
  </si>
  <si>
    <t>SRR27361903</t>
  </si>
  <si>
    <t>SRR11125470</t>
  </si>
  <si>
    <t>SRR21357736</t>
  </si>
  <si>
    <t>SRR27361895</t>
  </si>
  <si>
    <t>ERR2027892</t>
  </si>
  <si>
    <t>ERR2200673</t>
  </si>
  <si>
    <t>SRR27361902</t>
  </si>
  <si>
    <t>SRR11125074</t>
  </si>
  <si>
    <t>SRR8960333</t>
  </si>
  <si>
    <t>ERR12021901</t>
  </si>
  <si>
    <t>ERR12020523</t>
  </si>
  <si>
    <t>SRR6874851</t>
  </si>
  <si>
    <t>ERR5729221</t>
  </si>
  <si>
    <t>ERR12021343</t>
  </si>
  <si>
    <t>SRR24882560</t>
  </si>
  <si>
    <t>SRR5190227</t>
  </si>
  <si>
    <t>ERR2200674</t>
  </si>
  <si>
    <t>SRR11185254</t>
  </si>
  <si>
    <t>SRR21376880</t>
  </si>
  <si>
    <t>SRR24891230</t>
  </si>
  <si>
    <t>SRR26629449</t>
  </si>
  <si>
    <t>SRR8397916</t>
  </si>
  <si>
    <t>ERR12021902</t>
  </si>
  <si>
    <t>SRR26830845</t>
  </si>
  <si>
    <t>SRR8960325</t>
  </si>
  <si>
    <t>SRR32387119</t>
  </si>
  <si>
    <t>SRR18573224</t>
  </si>
  <si>
    <t>ERR12023336</t>
  </si>
  <si>
    <t>SRR12711494</t>
  </si>
  <si>
    <t>SRR7971120</t>
  </si>
  <si>
    <t>SRR14369194</t>
  </si>
  <si>
    <t>SRR8960192</t>
  </si>
  <si>
    <t>SRR24891239</t>
  </si>
  <si>
    <t>SRR16327187</t>
  </si>
  <si>
    <t>SRR12793299</t>
  </si>
  <si>
    <t>SRR8960885</t>
  </si>
  <si>
    <t>SRR17241518</t>
  </si>
  <si>
    <t>SRR5190282</t>
  </si>
  <si>
    <t>SRR8960575</t>
  </si>
  <si>
    <t>SRR28001881</t>
  </si>
  <si>
    <t>SRR24891218</t>
  </si>
  <si>
    <t>SRR11125786</t>
  </si>
  <si>
    <t>SRR8960293</t>
  </si>
  <si>
    <t>SRR8960472</t>
  </si>
  <si>
    <t>SRR31242626</t>
  </si>
  <si>
    <t>SRR8960197</t>
  </si>
  <si>
    <t>SRR8960345</t>
  </si>
  <si>
    <t>SRR27361894</t>
  </si>
  <si>
    <t>ERR12023832</t>
  </si>
  <si>
    <t>SRR11126468</t>
  </si>
  <si>
    <t>SRR11125403</t>
  </si>
  <si>
    <t>SRR20662466</t>
  </si>
  <si>
    <t>SRR5190283</t>
  </si>
  <si>
    <t>SRR28001870</t>
  </si>
  <si>
    <t>SRR21376886</t>
  </si>
  <si>
    <t>SRR17241499</t>
  </si>
  <si>
    <t>SRR5190284</t>
  </si>
  <si>
    <t>SRR11124824</t>
  </si>
  <si>
    <t>SRR8960421</t>
  </si>
  <si>
    <t>ERR3275113</t>
  </si>
  <si>
    <t>ERR2241674</t>
  </si>
  <si>
    <t>ERR11569108</t>
  </si>
  <si>
    <t>SRR8960651</t>
  </si>
  <si>
    <t>SRR30884419</t>
  </si>
  <si>
    <t>SRR29381444</t>
  </si>
  <si>
    <t>ERR12023834</t>
  </si>
  <si>
    <t>SRR14076583</t>
  </si>
  <si>
    <t>ERR11593875</t>
  </si>
  <si>
    <t>SRR25936192</t>
  </si>
  <si>
    <t>SRR28001864</t>
  </si>
  <si>
    <t>SRR24861838</t>
  </si>
  <si>
    <t>SRR8960317</t>
  </si>
  <si>
    <t>SRR30861126</t>
  </si>
  <si>
    <t>SRR17241546</t>
  </si>
  <si>
    <t>SRR17319355</t>
  </si>
  <si>
    <t>SRR26348117</t>
  </si>
  <si>
    <t>SRR29381468</t>
  </si>
  <si>
    <t>SRR27334087</t>
  </si>
  <si>
    <t>SRR16235696</t>
  </si>
  <si>
    <t>SRR17241669</t>
  </si>
  <si>
    <t>SRR11185247</t>
  </si>
  <si>
    <t>ERR3224580</t>
  </si>
  <si>
    <t>SRR8960591</t>
  </si>
  <si>
    <t>SRR22355863</t>
  </si>
  <si>
    <t>SRR8960586</t>
  </si>
  <si>
    <t>ERR3201385</t>
  </si>
  <si>
    <t>ERR3224613</t>
  </si>
  <si>
    <t>ERR3211475</t>
  </si>
  <si>
    <t>SRR17241619</t>
  </si>
  <si>
    <t>SRR24861831</t>
  </si>
  <si>
    <t>SRR6468718</t>
  </si>
  <si>
    <t>SRR30832662</t>
  </si>
  <si>
    <t>SRR11185260</t>
  </si>
  <si>
    <t>SRR17241532</t>
  </si>
  <si>
    <t>SRR8960889</t>
  </si>
  <si>
    <t>ERR12021349</t>
  </si>
  <si>
    <t>SRR24891231</t>
  </si>
  <si>
    <t>SRR8960572</t>
  </si>
  <si>
    <t>SRR11124818</t>
  </si>
  <si>
    <t>ERR12023347</t>
  </si>
  <si>
    <t>SRR8960487</t>
  </si>
  <si>
    <t>SRR8960521</t>
  </si>
  <si>
    <t>ERR2530126</t>
  </si>
  <si>
    <t>SRR8960368</t>
  </si>
  <si>
    <t>SRR8960300</t>
  </si>
  <si>
    <t>ERR2200676</t>
  </si>
  <si>
    <t>SRR11126106</t>
  </si>
  <si>
    <t>SRR24882551</t>
  </si>
  <si>
    <t>SRR11124775</t>
  </si>
  <si>
    <t>SRR8960255</t>
  </si>
  <si>
    <t>SRR27361887</t>
  </si>
  <si>
    <t>SRR27361891</t>
  </si>
  <si>
    <t>SRR17241618</t>
  </si>
  <si>
    <t>ERR12022808</t>
  </si>
  <si>
    <t>ERR3211450</t>
  </si>
  <si>
    <t>SRR22355854</t>
  </si>
  <si>
    <t>SRR8960525</t>
  </si>
  <si>
    <t>SRR18652168</t>
  </si>
  <si>
    <t>SRR8960701</t>
  </si>
  <si>
    <t>SRR22560188</t>
  </si>
  <si>
    <t>ERR12023807</t>
  </si>
  <si>
    <t>SRR20632230</t>
  </si>
  <si>
    <t>ERR7197560</t>
  </si>
  <si>
    <t>ERR3607254</t>
  </si>
  <si>
    <t>SRR8960251</t>
  </si>
  <si>
    <t>SRR8960338</t>
  </si>
  <si>
    <t>SRR8960878</t>
  </si>
  <si>
    <t>SRR21357747</t>
  </si>
  <si>
    <t>SRR11125336</t>
  </si>
  <si>
    <t>SRR8960749</t>
  </si>
  <si>
    <t>SRR26287233</t>
  </si>
  <si>
    <t>SRR8960450</t>
  </si>
  <si>
    <t>SRR26348126</t>
  </si>
  <si>
    <t>SRR8960916</t>
  </si>
  <si>
    <t>SRR17241612</t>
  </si>
  <si>
    <t>SRR11183310</t>
  </si>
  <si>
    <t>SRR11184070</t>
  </si>
  <si>
    <t>SRR11183401</t>
  </si>
  <si>
    <t>SRR8960286</t>
  </si>
  <si>
    <t>SRR27277143</t>
  </si>
  <si>
    <t>SRR26824592</t>
  </si>
  <si>
    <t>SRR13433989</t>
  </si>
  <si>
    <t>SRR20632250</t>
  </si>
  <si>
    <t>SRR26348130</t>
  </si>
  <si>
    <t>SRR27334086</t>
  </si>
  <si>
    <t>SRR24861841</t>
  </si>
  <si>
    <t>SRR10769908</t>
  </si>
  <si>
    <t>ERR6406553</t>
  </si>
  <si>
    <t>SRR24891243</t>
  </si>
  <si>
    <t>SRR8960565</t>
  </si>
  <si>
    <t>SRR27361889</t>
  </si>
  <si>
    <t>SRR29381478</t>
  </si>
  <si>
    <t>ERR6751837</t>
  </si>
  <si>
    <t>ERR2530127</t>
  </si>
  <si>
    <t>SRR17241586</t>
  </si>
  <si>
    <t>SRR11183304</t>
  </si>
  <si>
    <t>ERR3211458</t>
  </si>
  <si>
    <t>SRR22255874</t>
  </si>
  <si>
    <t>ERR11535320</t>
  </si>
  <si>
    <t>ERR3275104</t>
  </si>
  <si>
    <t>SRR18765416</t>
  </si>
  <si>
    <t>SRR8960725</t>
  </si>
  <si>
    <t>SRR11126445</t>
  </si>
  <si>
    <t>SRR873599</t>
  </si>
  <si>
    <t>SRR8960928</t>
  </si>
  <si>
    <t>SRR11124752</t>
  </si>
  <si>
    <t>SRR32122048</t>
  </si>
  <si>
    <t>SRR8960683</t>
  </si>
  <si>
    <t>SRR17241633</t>
  </si>
  <si>
    <t>SRR26064540</t>
  </si>
  <si>
    <t>SRR17241673</t>
  </si>
  <si>
    <t>SRR11183393</t>
  </si>
  <si>
    <t>SRR873596</t>
  </si>
  <si>
    <t>ERR4398801</t>
  </si>
  <si>
    <t>ERR6406478</t>
  </si>
  <si>
    <t>SRR17241563</t>
  </si>
  <si>
    <t>SRR11125785</t>
  </si>
  <si>
    <t>SRR8960140</t>
  </si>
  <si>
    <t>ERR3211440</t>
  </si>
  <si>
    <t>SRR8397894</t>
  </si>
  <si>
    <t>SRR11125471</t>
  </si>
  <si>
    <t>SRR26629430</t>
  </si>
  <si>
    <t>ERR2027900</t>
  </si>
  <si>
    <t>SRR8960452</t>
  </si>
  <si>
    <t>SRR24891250</t>
  </si>
  <si>
    <t>SRR26064519</t>
  </si>
  <si>
    <t>SRR8960428</t>
  </si>
  <si>
    <t>ERR3211462</t>
  </si>
  <si>
    <t>ERR13737725</t>
  </si>
  <si>
    <t>SRR17241630</t>
  </si>
  <si>
    <t>SRR11126507</t>
  </si>
  <si>
    <t>SRR8960735</t>
  </si>
  <si>
    <t>SRR26830834</t>
  </si>
  <si>
    <t>SRR32067961</t>
  </si>
  <si>
    <t>SRR8960883</t>
  </si>
  <si>
    <t>SRR17241683</t>
  </si>
  <si>
    <t>SRR8960894</t>
  </si>
  <si>
    <t>SRR26926502</t>
  </si>
  <si>
    <t>ERR13737702</t>
  </si>
  <si>
    <t>SRR26629420</t>
  </si>
  <si>
    <t>SRR5371473</t>
  </si>
  <si>
    <t>SRR26064563</t>
  </si>
  <si>
    <t>SRR27787428</t>
  </si>
  <si>
    <t>SRR11183445</t>
  </si>
  <si>
    <t>SRR11126065</t>
  </si>
  <si>
    <t>SRR11125762</t>
  </si>
  <si>
    <t>SRR12711426</t>
  </si>
  <si>
    <t>SRR31546791</t>
  </si>
  <si>
    <t>ERR6406552</t>
  </si>
  <si>
    <t>SRR25656324</t>
  </si>
  <si>
    <t>SRR17241620</t>
  </si>
  <si>
    <t>SRR11125042</t>
  </si>
  <si>
    <t>SRR27722929</t>
  </si>
  <si>
    <t>SRR11126100</t>
  </si>
  <si>
    <t>SRR27755807</t>
  </si>
  <si>
    <t>SRR21712827</t>
  </si>
  <si>
    <t>SRR21758851</t>
  </si>
  <si>
    <t>ERR3275118</t>
  </si>
  <si>
    <t>SRR8960679</t>
  </si>
  <si>
    <t>SRR11126340</t>
  </si>
  <si>
    <t>SRR8960282</t>
  </si>
  <si>
    <t>ERR13965086</t>
  </si>
  <si>
    <t>ERR12543558</t>
  </si>
  <si>
    <t>SRR26820239</t>
  </si>
  <si>
    <t>SRR24861832</t>
  </si>
  <si>
    <t>SRR11183791</t>
  </si>
  <si>
    <t>ERR5729344</t>
  </si>
  <si>
    <t>SRR20632258</t>
  </si>
  <si>
    <t>SRR16235698</t>
  </si>
  <si>
    <t>SRR11124784</t>
  </si>
  <si>
    <t>SRR25322305</t>
  </si>
  <si>
    <t>SRR27361886</t>
  </si>
  <si>
    <t>SRR11183423</t>
  </si>
  <si>
    <t>SRR8960818</t>
  </si>
  <si>
    <t>ERR3201417</t>
  </si>
  <si>
    <t>SRR11183807</t>
  </si>
  <si>
    <t>ERR4398799</t>
  </si>
  <si>
    <t>SRR8960674</t>
  </si>
  <si>
    <t>ERR3224579</t>
  </si>
  <si>
    <t>ERR3224595</t>
  </si>
  <si>
    <t>corrected_relabd</t>
  </si>
  <si>
    <t>GCF_046244355.1_ASM4624435v1_genomic</t>
  </si>
  <si>
    <t>nan</t>
  </si>
  <si>
    <t>sample_acc2</t>
  </si>
  <si>
    <t>genome</t>
  </si>
  <si>
    <t>relative_abundance_coverm</t>
  </si>
  <si>
    <t>seqdepth_coverm</t>
  </si>
  <si>
    <t>bases_covered</t>
  </si>
  <si>
    <t>anir</t>
  </si>
  <si>
    <t>Media</t>
  </si>
  <si>
    <t>Handling</t>
  </si>
  <si>
    <t>Organism</t>
  </si>
  <si>
    <t>Replicate</t>
  </si>
  <si>
    <t>Unit</t>
  </si>
  <si>
    <t>Hour</t>
  </si>
  <si>
    <t>Value</t>
  </si>
  <si>
    <t>SSO</t>
  </si>
  <si>
    <t>shaking</t>
  </si>
  <si>
    <t>A</t>
  </si>
  <si>
    <t>Acetate GCMS</t>
  </si>
  <si>
    <t>B</t>
  </si>
  <si>
    <t>C</t>
  </si>
  <si>
    <t>SSO+CAS</t>
  </si>
  <si>
    <t>C3</t>
  </si>
  <si>
    <t>c4i</t>
  </si>
  <si>
    <t>c4n</t>
  </si>
  <si>
    <t>c5i</t>
  </si>
  <si>
    <t>c5n</t>
  </si>
  <si>
    <t>c6i</t>
  </si>
  <si>
    <t>c6n</t>
  </si>
  <si>
    <t>c7n</t>
  </si>
  <si>
    <t>c8n</t>
  </si>
  <si>
    <t>Lactate</t>
  </si>
  <si>
    <t>Strain</t>
  </si>
  <si>
    <t>Time</t>
  </si>
  <si>
    <t>PSI</t>
  </si>
  <si>
    <t>pH</t>
  </si>
  <si>
    <t>C2</t>
  </si>
  <si>
    <t>C4-i</t>
  </si>
  <si>
    <t>C4-n</t>
  </si>
  <si>
    <t>C5-i</t>
  </si>
  <si>
    <t>C5-n</t>
  </si>
  <si>
    <t>C6-i</t>
  </si>
  <si>
    <t>C6-n</t>
  </si>
  <si>
    <t>C7-n</t>
  </si>
  <si>
    <t>C8-n</t>
  </si>
  <si>
    <t>VFAs_AcCoA</t>
  </si>
  <si>
    <t>Substrates_AcCoA</t>
  </si>
  <si>
    <t>Laccons</t>
  </si>
  <si>
    <t>Carbcons (as glucose)</t>
  </si>
  <si>
    <t>Lacgen</t>
  </si>
  <si>
    <t>Notes</t>
  </si>
  <si>
    <t>pH, VFAs, and lactate levels are imputed from a shared t0 sample taken from blank</t>
  </si>
  <si>
    <t>CNTL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</si>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</sst>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Menlo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49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7CF0-2D25-4842-B49A-58EFBBDB0915}">
  <dimension ref="A1:L456"/>
  <sheetViews>
    <sheetView workbookViewId="0">
      <selection activeCell="J6" sqref="J6"/>
    </sheetView>
  </sheetViews>
  <sheetFormatPr baseColWidth="10" defaultRowHeight="16" x14ac:dyDescent="0.2"/>
  <sheetData>
    <row r="1" spans="1:12" x14ac:dyDescent="0.2">
      <c r="A1" t="s">
        <v>12</v>
      </c>
      <c r="B1" t="s">
        <v>78</v>
      </c>
      <c r="C1" t="s">
        <v>0</v>
      </c>
      <c r="D1" t="s">
        <v>1</v>
      </c>
      <c r="E1" t="s">
        <v>14</v>
      </c>
      <c r="F1" t="s">
        <v>471</v>
      </c>
      <c r="G1" t="s">
        <v>474</v>
      </c>
      <c r="H1" t="s">
        <v>475</v>
      </c>
      <c r="I1" t="s">
        <v>476</v>
      </c>
      <c r="J1" t="s">
        <v>477</v>
      </c>
      <c r="K1" t="s">
        <v>478</v>
      </c>
      <c r="L1" t="s">
        <v>479</v>
      </c>
    </row>
    <row r="2" spans="1:12" x14ac:dyDescent="0.2">
      <c r="A2" t="s">
        <v>13</v>
      </c>
      <c r="B2" t="s">
        <v>79</v>
      </c>
      <c r="C2">
        <v>8.4499999999999993</v>
      </c>
      <c r="D2" t="s">
        <v>2</v>
      </c>
      <c r="E2">
        <v>81.88</v>
      </c>
      <c r="F2">
        <f t="shared" ref="F2:F65" si="0">C2/(E2/100)</f>
        <v>10.319980459208598</v>
      </c>
      <c r="G2" t="s">
        <v>473</v>
      </c>
      <c r="H2" t="s">
        <v>473</v>
      </c>
      <c r="I2" t="s">
        <v>473</v>
      </c>
      <c r="J2" t="s">
        <v>473</v>
      </c>
      <c r="K2" t="s">
        <v>473</v>
      </c>
      <c r="L2" t="s">
        <v>473</v>
      </c>
    </row>
    <row r="3" spans="1:12" x14ac:dyDescent="0.2">
      <c r="A3" t="s">
        <v>13</v>
      </c>
      <c r="B3" t="s">
        <v>80</v>
      </c>
      <c r="C3">
        <v>2.13</v>
      </c>
      <c r="D3" t="s">
        <v>2</v>
      </c>
      <c r="E3">
        <v>91.8</v>
      </c>
      <c r="F3">
        <f t="shared" si="0"/>
        <v>2.3202614379084969</v>
      </c>
      <c r="G3" t="s">
        <v>473</v>
      </c>
      <c r="H3" t="s">
        <v>473</v>
      </c>
      <c r="I3" t="s">
        <v>473</v>
      </c>
      <c r="J3" t="s">
        <v>473</v>
      </c>
      <c r="K3" t="s">
        <v>473</v>
      </c>
      <c r="L3" t="s">
        <v>473</v>
      </c>
    </row>
    <row r="4" spans="1:12" x14ac:dyDescent="0.2">
      <c r="A4" t="s">
        <v>13</v>
      </c>
      <c r="B4" t="s">
        <v>81</v>
      </c>
      <c r="C4">
        <v>2.09</v>
      </c>
      <c r="D4" t="s">
        <v>3</v>
      </c>
      <c r="E4">
        <v>100</v>
      </c>
      <c r="F4">
        <f t="shared" si="0"/>
        <v>2.09</v>
      </c>
      <c r="G4" t="s">
        <v>473</v>
      </c>
      <c r="H4" t="s">
        <v>473</v>
      </c>
      <c r="I4" t="s">
        <v>473</v>
      </c>
      <c r="J4" t="s">
        <v>473</v>
      </c>
      <c r="K4" t="s">
        <v>473</v>
      </c>
      <c r="L4" t="s">
        <v>473</v>
      </c>
    </row>
    <row r="5" spans="1:12" x14ac:dyDescent="0.2">
      <c r="A5" t="s">
        <v>13</v>
      </c>
      <c r="B5" t="s">
        <v>82</v>
      </c>
      <c r="C5">
        <v>2.59</v>
      </c>
      <c r="D5" t="s">
        <v>2</v>
      </c>
      <c r="E5">
        <v>86.31</v>
      </c>
      <c r="F5">
        <f t="shared" si="0"/>
        <v>3.0008110300081103</v>
      </c>
      <c r="G5" t="s">
        <v>473</v>
      </c>
      <c r="H5" t="s">
        <v>473</v>
      </c>
      <c r="I5" t="s">
        <v>473</v>
      </c>
      <c r="J5" t="s">
        <v>473</v>
      </c>
      <c r="K5" t="s">
        <v>473</v>
      </c>
      <c r="L5" t="s">
        <v>473</v>
      </c>
    </row>
    <row r="6" spans="1:12" x14ac:dyDescent="0.2">
      <c r="A6" t="s">
        <v>13</v>
      </c>
      <c r="B6" t="s">
        <v>83</v>
      </c>
      <c r="C6">
        <v>2.04</v>
      </c>
      <c r="D6" t="s">
        <v>2</v>
      </c>
      <c r="E6">
        <v>89.52</v>
      </c>
      <c r="F6">
        <f t="shared" si="0"/>
        <v>2.2788203753351208</v>
      </c>
      <c r="G6" t="s">
        <v>473</v>
      </c>
      <c r="H6" t="s">
        <v>473</v>
      </c>
      <c r="I6" t="s">
        <v>473</v>
      </c>
      <c r="J6" t="s">
        <v>473</v>
      </c>
      <c r="K6" t="s">
        <v>473</v>
      </c>
      <c r="L6" t="s">
        <v>473</v>
      </c>
    </row>
    <row r="7" spans="1:12" x14ac:dyDescent="0.2">
      <c r="A7" t="s">
        <v>13</v>
      </c>
      <c r="B7" t="s">
        <v>84</v>
      </c>
      <c r="C7">
        <v>0.61</v>
      </c>
      <c r="D7" t="s">
        <v>3</v>
      </c>
      <c r="E7">
        <v>77.06</v>
      </c>
      <c r="F7">
        <f t="shared" si="0"/>
        <v>0.79159096807682316</v>
      </c>
      <c r="G7" t="s">
        <v>473</v>
      </c>
      <c r="H7" t="s">
        <v>473</v>
      </c>
      <c r="I7" t="s">
        <v>473</v>
      </c>
      <c r="J7" t="s">
        <v>473</v>
      </c>
      <c r="K7" t="s">
        <v>473</v>
      </c>
      <c r="L7" t="s">
        <v>473</v>
      </c>
    </row>
    <row r="8" spans="1:12" x14ac:dyDescent="0.2">
      <c r="A8" t="s">
        <v>13</v>
      </c>
      <c r="B8" t="s">
        <v>85</v>
      </c>
      <c r="C8">
        <v>1.1499999999999999</v>
      </c>
      <c r="D8" t="s">
        <v>3</v>
      </c>
      <c r="E8">
        <v>90.36</v>
      </c>
      <c r="F8">
        <f t="shared" si="0"/>
        <v>1.2726870296591413</v>
      </c>
      <c r="G8" t="s">
        <v>473</v>
      </c>
      <c r="H8" t="s">
        <v>473</v>
      </c>
      <c r="I8" t="s">
        <v>473</v>
      </c>
      <c r="J8" t="s">
        <v>473</v>
      </c>
      <c r="K8" t="s">
        <v>473</v>
      </c>
      <c r="L8" t="s">
        <v>473</v>
      </c>
    </row>
    <row r="9" spans="1:12" x14ac:dyDescent="0.2">
      <c r="A9" t="s">
        <v>13</v>
      </c>
      <c r="B9" t="s">
        <v>86</v>
      </c>
      <c r="C9">
        <v>3.1</v>
      </c>
      <c r="D9" t="s">
        <v>2</v>
      </c>
      <c r="E9">
        <v>87.31</v>
      </c>
      <c r="F9">
        <f t="shared" si="0"/>
        <v>3.5505669453670832</v>
      </c>
      <c r="G9" t="s">
        <v>473</v>
      </c>
      <c r="H9" t="s">
        <v>473</v>
      </c>
      <c r="I9" t="s">
        <v>473</v>
      </c>
      <c r="J9" t="s">
        <v>473</v>
      </c>
      <c r="K9" t="s">
        <v>473</v>
      </c>
      <c r="L9" t="s">
        <v>473</v>
      </c>
    </row>
    <row r="10" spans="1:12" x14ac:dyDescent="0.2">
      <c r="A10" t="s">
        <v>13</v>
      </c>
      <c r="B10" t="s">
        <v>87</v>
      </c>
      <c r="C10">
        <v>4.17</v>
      </c>
      <c r="D10" t="s">
        <v>2</v>
      </c>
      <c r="E10">
        <v>90.39</v>
      </c>
      <c r="F10">
        <f t="shared" si="0"/>
        <v>4.6133421838698965</v>
      </c>
      <c r="G10" t="s">
        <v>473</v>
      </c>
      <c r="H10" t="s">
        <v>473</v>
      </c>
      <c r="I10" t="s">
        <v>473</v>
      </c>
      <c r="J10" t="s">
        <v>473</v>
      </c>
      <c r="K10" t="s">
        <v>473</v>
      </c>
      <c r="L10" t="s">
        <v>473</v>
      </c>
    </row>
    <row r="11" spans="1:12" x14ac:dyDescent="0.2">
      <c r="A11" t="s">
        <v>13</v>
      </c>
      <c r="B11" t="s">
        <v>88</v>
      </c>
      <c r="C11">
        <v>2.8</v>
      </c>
      <c r="D11" t="s">
        <v>4</v>
      </c>
      <c r="E11">
        <v>98.78</v>
      </c>
      <c r="F11">
        <f t="shared" si="0"/>
        <v>2.8345818991698724</v>
      </c>
      <c r="G11" t="s">
        <v>473</v>
      </c>
      <c r="H11" t="s">
        <v>473</v>
      </c>
      <c r="I11" t="s">
        <v>473</v>
      </c>
      <c r="J11" t="s">
        <v>473</v>
      </c>
      <c r="K11" t="s">
        <v>473</v>
      </c>
      <c r="L11" t="s">
        <v>473</v>
      </c>
    </row>
    <row r="12" spans="1:12" x14ac:dyDescent="0.2">
      <c r="A12" t="s">
        <v>13</v>
      </c>
      <c r="B12" t="s">
        <v>89</v>
      </c>
      <c r="C12">
        <v>1.24</v>
      </c>
      <c r="D12" t="s">
        <v>5</v>
      </c>
      <c r="E12">
        <v>67.510000000000005</v>
      </c>
      <c r="F12">
        <f t="shared" si="0"/>
        <v>1.836764923715005</v>
      </c>
      <c r="G12" t="s">
        <v>473</v>
      </c>
      <c r="H12" t="s">
        <v>473</v>
      </c>
      <c r="I12" t="s">
        <v>473</v>
      </c>
      <c r="J12" t="s">
        <v>473</v>
      </c>
      <c r="K12" t="s">
        <v>473</v>
      </c>
      <c r="L12" t="s">
        <v>473</v>
      </c>
    </row>
    <row r="13" spans="1:12" x14ac:dyDescent="0.2">
      <c r="A13" t="s">
        <v>13</v>
      </c>
      <c r="B13" t="s">
        <v>90</v>
      </c>
      <c r="C13">
        <v>0.94</v>
      </c>
      <c r="D13" t="s">
        <v>5</v>
      </c>
      <c r="E13">
        <v>76.540000000000006</v>
      </c>
      <c r="F13">
        <f t="shared" si="0"/>
        <v>1.2281160177684869</v>
      </c>
      <c r="G13" t="s">
        <v>473</v>
      </c>
      <c r="H13" t="s">
        <v>473</v>
      </c>
      <c r="I13" t="s">
        <v>473</v>
      </c>
      <c r="J13" t="s">
        <v>473</v>
      </c>
      <c r="K13" t="s">
        <v>473</v>
      </c>
      <c r="L13" t="s">
        <v>473</v>
      </c>
    </row>
    <row r="14" spans="1:12" x14ac:dyDescent="0.2">
      <c r="A14" t="s">
        <v>13</v>
      </c>
      <c r="B14" t="s">
        <v>91</v>
      </c>
      <c r="C14">
        <v>1.27</v>
      </c>
      <c r="D14" t="s">
        <v>5</v>
      </c>
      <c r="E14">
        <v>70.94</v>
      </c>
      <c r="F14">
        <f t="shared" si="0"/>
        <v>1.7902452776994642</v>
      </c>
      <c r="G14" t="s">
        <v>473</v>
      </c>
      <c r="H14" t="s">
        <v>473</v>
      </c>
      <c r="I14" t="s">
        <v>473</v>
      </c>
      <c r="J14" t="s">
        <v>473</v>
      </c>
      <c r="K14" t="s">
        <v>473</v>
      </c>
      <c r="L14" t="s">
        <v>473</v>
      </c>
    </row>
    <row r="15" spans="1:12" x14ac:dyDescent="0.2">
      <c r="A15" t="s">
        <v>13</v>
      </c>
      <c r="B15" t="s">
        <v>92</v>
      </c>
      <c r="C15">
        <v>1.01</v>
      </c>
      <c r="D15" t="s">
        <v>2</v>
      </c>
      <c r="E15">
        <v>90.72</v>
      </c>
      <c r="F15">
        <f t="shared" si="0"/>
        <v>1.1133156966490301</v>
      </c>
      <c r="G15" t="s">
        <v>473</v>
      </c>
      <c r="H15" t="s">
        <v>473</v>
      </c>
      <c r="I15" t="s">
        <v>473</v>
      </c>
      <c r="J15" t="s">
        <v>473</v>
      </c>
      <c r="K15" t="s">
        <v>473</v>
      </c>
      <c r="L15" t="s">
        <v>473</v>
      </c>
    </row>
    <row r="16" spans="1:12" x14ac:dyDescent="0.2">
      <c r="A16" t="s">
        <v>13</v>
      </c>
      <c r="B16" t="s">
        <v>93</v>
      </c>
      <c r="C16">
        <v>1.01</v>
      </c>
      <c r="D16" t="s">
        <v>2</v>
      </c>
      <c r="E16">
        <v>90.72</v>
      </c>
      <c r="F16">
        <f t="shared" si="0"/>
        <v>1.1133156966490301</v>
      </c>
      <c r="G16" t="s">
        <v>473</v>
      </c>
      <c r="H16" t="s">
        <v>473</v>
      </c>
      <c r="I16" t="s">
        <v>473</v>
      </c>
      <c r="J16" t="s">
        <v>473</v>
      </c>
      <c r="K16" t="s">
        <v>473</v>
      </c>
      <c r="L16" t="s">
        <v>473</v>
      </c>
    </row>
    <row r="17" spans="1:12" x14ac:dyDescent="0.2">
      <c r="A17" t="s">
        <v>13</v>
      </c>
      <c r="B17" t="s">
        <v>94</v>
      </c>
      <c r="C17">
        <v>0.95</v>
      </c>
      <c r="D17" t="s">
        <v>2</v>
      </c>
      <c r="E17">
        <v>92.98</v>
      </c>
      <c r="F17">
        <f t="shared" si="0"/>
        <v>1.02172510217251</v>
      </c>
      <c r="G17" t="s">
        <v>473</v>
      </c>
      <c r="H17" t="s">
        <v>473</v>
      </c>
      <c r="I17" t="s">
        <v>473</v>
      </c>
      <c r="J17" t="s">
        <v>473</v>
      </c>
      <c r="K17" t="s">
        <v>473</v>
      </c>
      <c r="L17" t="s">
        <v>473</v>
      </c>
    </row>
    <row r="18" spans="1:12" x14ac:dyDescent="0.2">
      <c r="A18" t="s">
        <v>13</v>
      </c>
      <c r="B18" t="s">
        <v>95</v>
      </c>
      <c r="C18">
        <v>0.63</v>
      </c>
      <c r="D18" t="s">
        <v>2</v>
      </c>
      <c r="E18">
        <v>94.97</v>
      </c>
      <c r="F18">
        <f t="shared" si="0"/>
        <v>0.66336737917237021</v>
      </c>
      <c r="G18" t="s">
        <v>473</v>
      </c>
      <c r="H18" t="s">
        <v>473</v>
      </c>
      <c r="I18" t="s">
        <v>473</v>
      </c>
      <c r="J18" t="s">
        <v>473</v>
      </c>
      <c r="K18" t="s">
        <v>473</v>
      </c>
      <c r="L18" t="s">
        <v>473</v>
      </c>
    </row>
    <row r="19" spans="1:12" x14ac:dyDescent="0.2">
      <c r="A19" t="s">
        <v>13</v>
      </c>
      <c r="B19" t="s">
        <v>96</v>
      </c>
      <c r="C19">
        <v>0.91</v>
      </c>
      <c r="D19" t="s">
        <v>2</v>
      </c>
      <c r="E19">
        <v>87.74</v>
      </c>
      <c r="F19">
        <f t="shared" si="0"/>
        <v>1.0371552313653978</v>
      </c>
      <c r="G19" t="s">
        <v>473</v>
      </c>
      <c r="H19" t="s">
        <v>473</v>
      </c>
      <c r="I19" t="s">
        <v>473</v>
      </c>
      <c r="J19" t="s">
        <v>473</v>
      </c>
      <c r="K19" t="s">
        <v>473</v>
      </c>
      <c r="L19" t="s">
        <v>473</v>
      </c>
    </row>
    <row r="20" spans="1:12" x14ac:dyDescent="0.2">
      <c r="A20" t="s">
        <v>13</v>
      </c>
      <c r="B20" t="s">
        <v>97</v>
      </c>
      <c r="C20">
        <v>2.98</v>
      </c>
      <c r="D20" t="s">
        <v>2</v>
      </c>
      <c r="E20">
        <v>83.53</v>
      </c>
      <c r="F20">
        <f t="shared" si="0"/>
        <v>3.5675805099964082</v>
      </c>
      <c r="G20" t="s">
        <v>473</v>
      </c>
      <c r="H20" t="s">
        <v>473</v>
      </c>
      <c r="I20" t="s">
        <v>473</v>
      </c>
      <c r="J20" t="s">
        <v>473</v>
      </c>
      <c r="K20" t="s">
        <v>473</v>
      </c>
      <c r="L20" t="s">
        <v>473</v>
      </c>
    </row>
    <row r="21" spans="1:12" x14ac:dyDescent="0.2">
      <c r="A21" t="s">
        <v>13</v>
      </c>
      <c r="B21" t="s">
        <v>98</v>
      </c>
      <c r="C21">
        <v>1.53</v>
      </c>
      <c r="D21" t="s">
        <v>2</v>
      </c>
      <c r="E21">
        <v>90.88</v>
      </c>
      <c r="F21">
        <f t="shared" si="0"/>
        <v>1.6835387323943662</v>
      </c>
      <c r="G21" t="s">
        <v>473</v>
      </c>
      <c r="H21" t="s">
        <v>473</v>
      </c>
      <c r="I21" t="s">
        <v>473</v>
      </c>
      <c r="J21" t="s">
        <v>473</v>
      </c>
      <c r="K21" t="s">
        <v>473</v>
      </c>
      <c r="L21" t="s">
        <v>473</v>
      </c>
    </row>
    <row r="22" spans="1:12" x14ac:dyDescent="0.2">
      <c r="A22" t="s">
        <v>13</v>
      </c>
      <c r="B22" t="s">
        <v>99</v>
      </c>
      <c r="C22">
        <v>1.85</v>
      </c>
      <c r="D22" t="s">
        <v>2</v>
      </c>
      <c r="E22">
        <v>93.53</v>
      </c>
      <c r="F22">
        <f t="shared" si="0"/>
        <v>1.9779749812894258</v>
      </c>
      <c r="G22" t="s">
        <v>473</v>
      </c>
      <c r="H22" t="s">
        <v>473</v>
      </c>
      <c r="I22" t="s">
        <v>473</v>
      </c>
      <c r="J22" t="s">
        <v>473</v>
      </c>
      <c r="K22" t="s">
        <v>473</v>
      </c>
      <c r="L22" t="s">
        <v>473</v>
      </c>
    </row>
    <row r="23" spans="1:12" x14ac:dyDescent="0.2">
      <c r="A23" t="s">
        <v>13</v>
      </c>
      <c r="B23" t="s">
        <v>100</v>
      </c>
      <c r="C23">
        <v>0.88</v>
      </c>
      <c r="D23" t="s">
        <v>3</v>
      </c>
      <c r="E23">
        <v>99.49</v>
      </c>
      <c r="F23">
        <f t="shared" si="0"/>
        <v>0.88451100613126954</v>
      </c>
      <c r="G23" t="s">
        <v>473</v>
      </c>
      <c r="H23" t="s">
        <v>473</v>
      </c>
      <c r="I23" t="s">
        <v>473</v>
      </c>
      <c r="J23" t="s">
        <v>473</v>
      </c>
      <c r="K23" t="s">
        <v>473</v>
      </c>
      <c r="L23" t="s">
        <v>473</v>
      </c>
    </row>
    <row r="24" spans="1:12" x14ac:dyDescent="0.2">
      <c r="A24" t="s">
        <v>13</v>
      </c>
      <c r="B24" t="s">
        <v>101</v>
      </c>
      <c r="C24">
        <v>0.31</v>
      </c>
      <c r="D24" t="s">
        <v>3</v>
      </c>
      <c r="E24">
        <v>81.81</v>
      </c>
      <c r="F24">
        <f t="shared" si="0"/>
        <v>0.37892678156704557</v>
      </c>
      <c r="G24" t="s">
        <v>473</v>
      </c>
      <c r="H24" t="s">
        <v>473</v>
      </c>
      <c r="I24" t="s">
        <v>473</v>
      </c>
      <c r="J24" t="s">
        <v>473</v>
      </c>
      <c r="K24" t="s">
        <v>473</v>
      </c>
      <c r="L24" t="s">
        <v>473</v>
      </c>
    </row>
    <row r="25" spans="1:12" x14ac:dyDescent="0.2">
      <c r="A25" t="s">
        <v>13</v>
      </c>
      <c r="B25" t="s">
        <v>102</v>
      </c>
      <c r="C25">
        <v>0.64</v>
      </c>
      <c r="D25" t="s">
        <v>2</v>
      </c>
      <c r="E25">
        <v>68.5</v>
      </c>
      <c r="F25">
        <f t="shared" si="0"/>
        <v>0.93430656934306566</v>
      </c>
      <c r="G25" t="s">
        <v>473</v>
      </c>
      <c r="H25" t="s">
        <v>473</v>
      </c>
      <c r="I25" t="s">
        <v>473</v>
      </c>
      <c r="J25" t="s">
        <v>473</v>
      </c>
      <c r="K25" t="s">
        <v>473</v>
      </c>
      <c r="L25" t="s">
        <v>473</v>
      </c>
    </row>
    <row r="26" spans="1:12" x14ac:dyDescent="0.2">
      <c r="A26" t="s">
        <v>13</v>
      </c>
      <c r="B26" t="s">
        <v>103</v>
      </c>
      <c r="C26">
        <v>0.74</v>
      </c>
      <c r="D26" t="s">
        <v>2</v>
      </c>
      <c r="E26">
        <v>88.57</v>
      </c>
      <c r="F26">
        <f t="shared" si="0"/>
        <v>0.83549734673139897</v>
      </c>
      <c r="G26" t="s">
        <v>473</v>
      </c>
      <c r="H26" t="s">
        <v>473</v>
      </c>
      <c r="I26" t="s">
        <v>473</v>
      </c>
      <c r="J26" t="s">
        <v>473</v>
      </c>
      <c r="K26" t="s">
        <v>473</v>
      </c>
      <c r="L26" t="s">
        <v>473</v>
      </c>
    </row>
    <row r="27" spans="1:12" x14ac:dyDescent="0.2">
      <c r="A27" t="s">
        <v>13</v>
      </c>
      <c r="B27" t="s">
        <v>104</v>
      </c>
      <c r="C27">
        <v>0.56000000000000005</v>
      </c>
      <c r="D27" t="s">
        <v>3</v>
      </c>
      <c r="E27">
        <v>36.25</v>
      </c>
      <c r="F27">
        <f t="shared" si="0"/>
        <v>1.5448275862068968</v>
      </c>
      <c r="G27" t="s">
        <v>473</v>
      </c>
      <c r="H27" t="s">
        <v>473</v>
      </c>
      <c r="I27" t="s">
        <v>473</v>
      </c>
      <c r="J27" t="s">
        <v>473</v>
      </c>
      <c r="K27" t="s">
        <v>473</v>
      </c>
      <c r="L27" t="s">
        <v>473</v>
      </c>
    </row>
    <row r="28" spans="1:12" x14ac:dyDescent="0.2">
      <c r="A28" t="s">
        <v>13</v>
      </c>
      <c r="B28" t="s">
        <v>105</v>
      </c>
      <c r="C28">
        <v>0.28000000000000003</v>
      </c>
      <c r="D28" t="s">
        <v>3</v>
      </c>
      <c r="E28">
        <v>81.78</v>
      </c>
      <c r="F28">
        <f t="shared" si="0"/>
        <v>0.34238200048911721</v>
      </c>
      <c r="G28" t="s">
        <v>473</v>
      </c>
      <c r="H28" t="s">
        <v>473</v>
      </c>
      <c r="I28" t="s">
        <v>473</v>
      </c>
      <c r="J28" t="s">
        <v>473</v>
      </c>
      <c r="K28" t="s">
        <v>473</v>
      </c>
      <c r="L28" t="s">
        <v>473</v>
      </c>
    </row>
    <row r="29" spans="1:12" x14ac:dyDescent="0.2">
      <c r="A29" t="s">
        <v>13</v>
      </c>
      <c r="B29" t="s">
        <v>106</v>
      </c>
      <c r="C29">
        <v>0.31</v>
      </c>
      <c r="D29" t="s">
        <v>3</v>
      </c>
      <c r="E29">
        <v>76.430000000000007</v>
      </c>
      <c r="F29">
        <f t="shared" si="0"/>
        <v>0.40559989532905921</v>
      </c>
      <c r="G29" t="s">
        <v>473</v>
      </c>
      <c r="H29" t="s">
        <v>473</v>
      </c>
      <c r="I29" t="s">
        <v>473</v>
      </c>
      <c r="J29" t="s">
        <v>473</v>
      </c>
      <c r="K29" t="s">
        <v>473</v>
      </c>
      <c r="L29" t="s">
        <v>473</v>
      </c>
    </row>
    <row r="30" spans="1:12" x14ac:dyDescent="0.2">
      <c r="A30" t="s">
        <v>13</v>
      </c>
      <c r="B30" t="s">
        <v>107</v>
      </c>
      <c r="C30">
        <v>0.28000000000000003</v>
      </c>
      <c r="D30" t="s">
        <v>3</v>
      </c>
      <c r="E30">
        <v>81.31</v>
      </c>
      <c r="F30">
        <f t="shared" si="0"/>
        <v>0.34436108719714675</v>
      </c>
      <c r="G30" t="s">
        <v>473</v>
      </c>
      <c r="H30" t="s">
        <v>473</v>
      </c>
      <c r="I30" t="s">
        <v>473</v>
      </c>
      <c r="J30" t="s">
        <v>473</v>
      </c>
      <c r="K30" t="s">
        <v>473</v>
      </c>
      <c r="L30" t="s">
        <v>473</v>
      </c>
    </row>
    <row r="31" spans="1:12" x14ac:dyDescent="0.2">
      <c r="A31" t="s">
        <v>13</v>
      </c>
      <c r="B31" t="s">
        <v>108</v>
      </c>
      <c r="C31">
        <v>1.1499999999999999</v>
      </c>
      <c r="D31" t="s">
        <v>2</v>
      </c>
      <c r="E31">
        <v>90.92</v>
      </c>
      <c r="F31">
        <f t="shared" si="0"/>
        <v>1.2648482182138143</v>
      </c>
      <c r="G31" t="s">
        <v>473</v>
      </c>
      <c r="H31" t="s">
        <v>473</v>
      </c>
      <c r="I31" t="s">
        <v>473</v>
      </c>
      <c r="J31" t="s">
        <v>473</v>
      </c>
      <c r="K31" t="s">
        <v>473</v>
      </c>
      <c r="L31" t="s">
        <v>473</v>
      </c>
    </row>
    <row r="32" spans="1:12" x14ac:dyDescent="0.2">
      <c r="A32" t="s">
        <v>13</v>
      </c>
      <c r="B32" t="s">
        <v>109</v>
      </c>
      <c r="C32">
        <v>1.39</v>
      </c>
      <c r="D32" t="s">
        <v>6</v>
      </c>
      <c r="E32">
        <v>84.55</v>
      </c>
      <c r="F32">
        <f t="shared" si="0"/>
        <v>1.6439976345357776</v>
      </c>
      <c r="G32" t="s">
        <v>473</v>
      </c>
      <c r="H32" t="s">
        <v>473</v>
      </c>
      <c r="I32" t="s">
        <v>473</v>
      </c>
      <c r="J32" t="s">
        <v>473</v>
      </c>
      <c r="K32" t="s">
        <v>473</v>
      </c>
      <c r="L32" t="s">
        <v>473</v>
      </c>
    </row>
    <row r="33" spans="1:12" x14ac:dyDescent="0.2">
      <c r="A33" t="s">
        <v>13</v>
      </c>
      <c r="B33" t="s">
        <v>110</v>
      </c>
      <c r="C33">
        <v>0.48</v>
      </c>
      <c r="D33" t="s">
        <v>2</v>
      </c>
      <c r="E33">
        <v>78.569999999999993</v>
      </c>
      <c r="F33">
        <f t="shared" si="0"/>
        <v>0.61092019854906454</v>
      </c>
      <c r="G33" t="s">
        <v>473</v>
      </c>
      <c r="H33" t="s">
        <v>473</v>
      </c>
      <c r="I33" t="s">
        <v>473</v>
      </c>
      <c r="J33" t="s">
        <v>473</v>
      </c>
      <c r="K33" t="s">
        <v>473</v>
      </c>
      <c r="L33" t="s">
        <v>473</v>
      </c>
    </row>
    <row r="34" spans="1:12" x14ac:dyDescent="0.2">
      <c r="A34" t="s">
        <v>13</v>
      </c>
      <c r="B34" t="s">
        <v>60</v>
      </c>
      <c r="C34">
        <v>0.69</v>
      </c>
      <c r="D34" t="s">
        <v>2</v>
      </c>
      <c r="E34">
        <v>82.7</v>
      </c>
      <c r="F34">
        <f t="shared" si="0"/>
        <v>0.83434099153567098</v>
      </c>
      <c r="G34" t="s">
        <v>473</v>
      </c>
      <c r="H34" t="s">
        <v>473</v>
      </c>
      <c r="I34" t="s">
        <v>473</v>
      </c>
      <c r="J34" t="s">
        <v>473</v>
      </c>
      <c r="K34" t="s">
        <v>473</v>
      </c>
      <c r="L34" t="s">
        <v>473</v>
      </c>
    </row>
    <row r="35" spans="1:12" x14ac:dyDescent="0.2">
      <c r="A35" t="s">
        <v>13</v>
      </c>
      <c r="B35" t="s">
        <v>111</v>
      </c>
      <c r="C35">
        <v>0.47</v>
      </c>
      <c r="D35" t="s">
        <v>5</v>
      </c>
      <c r="E35">
        <v>87.88</v>
      </c>
      <c r="F35">
        <f t="shared" si="0"/>
        <v>0.53482020937642238</v>
      </c>
      <c r="G35" t="s">
        <v>473</v>
      </c>
      <c r="H35" t="s">
        <v>473</v>
      </c>
      <c r="I35" t="s">
        <v>473</v>
      </c>
      <c r="J35" t="s">
        <v>473</v>
      </c>
      <c r="K35" t="s">
        <v>473</v>
      </c>
      <c r="L35" t="s">
        <v>473</v>
      </c>
    </row>
    <row r="36" spans="1:12" x14ac:dyDescent="0.2">
      <c r="A36" t="s">
        <v>13</v>
      </c>
      <c r="B36" t="s">
        <v>112</v>
      </c>
      <c r="C36">
        <v>1.96</v>
      </c>
      <c r="D36" t="s">
        <v>2</v>
      </c>
      <c r="E36">
        <v>89.77</v>
      </c>
      <c r="F36">
        <f t="shared" si="0"/>
        <v>2.1833574690876687</v>
      </c>
      <c r="G36" t="s">
        <v>473</v>
      </c>
      <c r="H36" t="s">
        <v>473</v>
      </c>
      <c r="I36" t="s">
        <v>473</v>
      </c>
      <c r="J36" t="s">
        <v>473</v>
      </c>
      <c r="K36" t="s">
        <v>473</v>
      </c>
      <c r="L36" t="s">
        <v>473</v>
      </c>
    </row>
    <row r="37" spans="1:12" x14ac:dyDescent="0.2">
      <c r="A37" t="s">
        <v>13</v>
      </c>
      <c r="B37" t="s">
        <v>113</v>
      </c>
      <c r="C37">
        <v>1.65</v>
      </c>
      <c r="D37" t="s">
        <v>2</v>
      </c>
      <c r="E37">
        <v>79.66</v>
      </c>
      <c r="F37">
        <f t="shared" si="0"/>
        <v>2.0713030379111221</v>
      </c>
      <c r="G37" t="s">
        <v>473</v>
      </c>
      <c r="H37" t="s">
        <v>473</v>
      </c>
      <c r="I37" t="s">
        <v>473</v>
      </c>
      <c r="J37" t="s">
        <v>473</v>
      </c>
      <c r="K37" t="s">
        <v>473</v>
      </c>
      <c r="L37" t="s">
        <v>473</v>
      </c>
    </row>
    <row r="38" spans="1:12" x14ac:dyDescent="0.2">
      <c r="A38" t="s">
        <v>13</v>
      </c>
      <c r="B38" t="s">
        <v>114</v>
      </c>
      <c r="C38">
        <v>1.26</v>
      </c>
      <c r="D38" t="s">
        <v>2</v>
      </c>
      <c r="E38">
        <v>88.92</v>
      </c>
      <c r="F38">
        <f t="shared" si="0"/>
        <v>1.417004048582996</v>
      </c>
      <c r="G38" t="s">
        <v>473</v>
      </c>
      <c r="H38" t="s">
        <v>473</v>
      </c>
      <c r="I38" t="s">
        <v>473</v>
      </c>
      <c r="J38" t="s">
        <v>473</v>
      </c>
      <c r="K38" t="s">
        <v>473</v>
      </c>
      <c r="L38" t="s">
        <v>473</v>
      </c>
    </row>
    <row r="39" spans="1:12" x14ac:dyDescent="0.2">
      <c r="A39" t="s">
        <v>13</v>
      </c>
      <c r="B39" t="s">
        <v>115</v>
      </c>
      <c r="C39">
        <v>0.79</v>
      </c>
      <c r="D39" t="s">
        <v>2</v>
      </c>
      <c r="E39">
        <v>72.62</v>
      </c>
      <c r="F39">
        <f t="shared" si="0"/>
        <v>1.0878545855136326</v>
      </c>
      <c r="G39" t="s">
        <v>473</v>
      </c>
      <c r="H39" t="s">
        <v>473</v>
      </c>
      <c r="I39" t="s">
        <v>473</v>
      </c>
      <c r="J39" t="s">
        <v>473</v>
      </c>
      <c r="K39" t="s">
        <v>473</v>
      </c>
      <c r="L39" t="s">
        <v>473</v>
      </c>
    </row>
    <row r="40" spans="1:12" x14ac:dyDescent="0.2">
      <c r="A40" t="s">
        <v>13</v>
      </c>
      <c r="B40" t="s">
        <v>116</v>
      </c>
      <c r="C40">
        <v>0.25</v>
      </c>
      <c r="D40" t="s">
        <v>3</v>
      </c>
      <c r="E40">
        <v>80.52</v>
      </c>
      <c r="F40">
        <f t="shared" si="0"/>
        <v>0.31048186785891707</v>
      </c>
      <c r="G40" t="s">
        <v>473</v>
      </c>
      <c r="H40" t="s">
        <v>473</v>
      </c>
      <c r="I40" t="s">
        <v>473</v>
      </c>
      <c r="J40" t="s">
        <v>473</v>
      </c>
      <c r="K40" t="s">
        <v>473</v>
      </c>
      <c r="L40" t="s">
        <v>473</v>
      </c>
    </row>
    <row r="41" spans="1:12" x14ac:dyDescent="0.2">
      <c r="A41" t="s">
        <v>13</v>
      </c>
      <c r="B41" t="s">
        <v>117</v>
      </c>
      <c r="C41">
        <v>0.21</v>
      </c>
      <c r="D41" t="s">
        <v>3</v>
      </c>
      <c r="E41">
        <v>84.5</v>
      </c>
      <c r="F41">
        <f t="shared" si="0"/>
        <v>0.24852071005917159</v>
      </c>
      <c r="G41" t="s">
        <v>473</v>
      </c>
      <c r="H41" t="s">
        <v>473</v>
      </c>
      <c r="I41" t="s">
        <v>473</v>
      </c>
      <c r="J41" t="s">
        <v>473</v>
      </c>
      <c r="K41" t="s">
        <v>473</v>
      </c>
      <c r="L41" t="s">
        <v>473</v>
      </c>
    </row>
    <row r="42" spans="1:12" x14ac:dyDescent="0.2">
      <c r="A42" t="s">
        <v>13</v>
      </c>
      <c r="B42" t="s">
        <v>118</v>
      </c>
      <c r="C42">
        <v>0.63</v>
      </c>
      <c r="D42" t="s">
        <v>3</v>
      </c>
      <c r="E42">
        <v>71.89</v>
      </c>
      <c r="F42">
        <f t="shared" si="0"/>
        <v>0.87633885102239539</v>
      </c>
      <c r="G42" t="s">
        <v>473</v>
      </c>
      <c r="H42" t="s">
        <v>473</v>
      </c>
      <c r="I42" t="s">
        <v>473</v>
      </c>
      <c r="J42" t="s">
        <v>473</v>
      </c>
      <c r="K42" t="s">
        <v>473</v>
      </c>
      <c r="L42" t="s">
        <v>473</v>
      </c>
    </row>
    <row r="43" spans="1:12" x14ac:dyDescent="0.2">
      <c r="A43" t="s">
        <v>13</v>
      </c>
      <c r="B43" t="s">
        <v>119</v>
      </c>
      <c r="C43">
        <v>3.27</v>
      </c>
      <c r="D43" t="s">
        <v>2</v>
      </c>
      <c r="E43">
        <v>91.9</v>
      </c>
      <c r="F43">
        <f t="shared" si="0"/>
        <v>3.5582154515778019</v>
      </c>
      <c r="G43" t="s">
        <v>473</v>
      </c>
      <c r="H43" t="s">
        <v>473</v>
      </c>
      <c r="I43" t="s">
        <v>473</v>
      </c>
      <c r="J43" t="s">
        <v>473</v>
      </c>
      <c r="K43" t="s">
        <v>473</v>
      </c>
      <c r="L43" t="s">
        <v>473</v>
      </c>
    </row>
    <row r="44" spans="1:12" x14ac:dyDescent="0.2">
      <c r="A44" t="s">
        <v>13</v>
      </c>
      <c r="B44" t="s">
        <v>120</v>
      </c>
      <c r="C44">
        <v>0.34</v>
      </c>
      <c r="D44" t="s">
        <v>2</v>
      </c>
      <c r="E44">
        <v>85.87</v>
      </c>
      <c r="F44">
        <f t="shared" si="0"/>
        <v>0.39594736229183652</v>
      </c>
      <c r="G44" t="s">
        <v>473</v>
      </c>
      <c r="H44" t="s">
        <v>473</v>
      </c>
      <c r="I44" t="s">
        <v>473</v>
      </c>
      <c r="J44" t="s">
        <v>473</v>
      </c>
      <c r="K44" t="s">
        <v>473</v>
      </c>
      <c r="L44" t="s">
        <v>473</v>
      </c>
    </row>
    <row r="45" spans="1:12" x14ac:dyDescent="0.2">
      <c r="A45" t="s">
        <v>13</v>
      </c>
      <c r="B45" t="s">
        <v>121</v>
      </c>
      <c r="C45">
        <v>0.96</v>
      </c>
      <c r="D45" t="s">
        <v>2</v>
      </c>
      <c r="E45">
        <v>88.09</v>
      </c>
      <c r="F45">
        <f t="shared" si="0"/>
        <v>1.0897945283233057</v>
      </c>
      <c r="G45" t="s">
        <v>473</v>
      </c>
      <c r="H45" t="s">
        <v>473</v>
      </c>
      <c r="I45" t="s">
        <v>473</v>
      </c>
      <c r="J45" t="s">
        <v>473</v>
      </c>
      <c r="K45" t="s">
        <v>473</v>
      </c>
      <c r="L45" t="s">
        <v>473</v>
      </c>
    </row>
    <row r="46" spans="1:12" x14ac:dyDescent="0.2">
      <c r="A46" t="s">
        <v>13</v>
      </c>
      <c r="B46" t="s">
        <v>122</v>
      </c>
      <c r="C46">
        <v>0.24</v>
      </c>
      <c r="D46" t="s">
        <v>3</v>
      </c>
      <c r="E46">
        <v>82.87</v>
      </c>
      <c r="F46">
        <f t="shared" si="0"/>
        <v>0.28961023289489563</v>
      </c>
      <c r="G46" t="s">
        <v>473</v>
      </c>
      <c r="H46" t="s">
        <v>473</v>
      </c>
      <c r="I46" t="s">
        <v>473</v>
      </c>
      <c r="J46" t="s">
        <v>473</v>
      </c>
      <c r="K46" t="s">
        <v>473</v>
      </c>
      <c r="L46" t="s">
        <v>473</v>
      </c>
    </row>
    <row r="47" spans="1:12" x14ac:dyDescent="0.2">
      <c r="A47" t="s">
        <v>13</v>
      </c>
      <c r="B47" t="s">
        <v>123</v>
      </c>
      <c r="C47">
        <v>0.34</v>
      </c>
      <c r="D47" s="2" t="s">
        <v>2</v>
      </c>
      <c r="E47">
        <v>89.97</v>
      </c>
      <c r="F47">
        <f t="shared" si="0"/>
        <v>0.37790374569300883</v>
      </c>
      <c r="G47" t="s">
        <v>473</v>
      </c>
      <c r="H47" t="s">
        <v>473</v>
      </c>
      <c r="I47" t="s">
        <v>473</v>
      </c>
      <c r="J47" t="s">
        <v>473</v>
      </c>
      <c r="K47" t="s">
        <v>473</v>
      </c>
      <c r="L47" t="s">
        <v>473</v>
      </c>
    </row>
    <row r="48" spans="1:12" x14ac:dyDescent="0.2">
      <c r="A48" t="s">
        <v>13</v>
      </c>
      <c r="B48" t="s">
        <v>124</v>
      </c>
      <c r="C48">
        <v>0.22</v>
      </c>
      <c r="D48" t="s">
        <v>3</v>
      </c>
      <c r="E48">
        <v>80.48</v>
      </c>
      <c r="F48">
        <f t="shared" si="0"/>
        <v>0.27335984095427435</v>
      </c>
      <c r="G48" t="s">
        <v>473</v>
      </c>
      <c r="H48" t="s">
        <v>473</v>
      </c>
      <c r="I48" t="s">
        <v>473</v>
      </c>
      <c r="J48" t="s">
        <v>473</v>
      </c>
      <c r="K48" t="s">
        <v>473</v>
      </c>
      <c r="L48" t="s">
        <v>473</v>
      </c>
    </row>
    <row r="49" spans="1:12" x14ac:dyDescent="0.2">
      <c r="A49" t="s">
        <v>13</v>
      </c>
      <c r="B49" t="s">
        <v>125</v>
      </c>
      <c r="C49">
        <v>0.8</v>
      </c>
      <c r="D49" t="s">
        <v>7</v>
      </c>
      <c r="E49">
        <v>19.190000000000001</v>
      </c>
      <c r="F49">
        <f t="shared" si="0"/>
        <v>4.1688379364252217</v>
      </c>
      <c r="G49" t="s">
        <v>473</v>
      </c>
      <c r="H49" t="s">
        <v>473</v>
      </c>
      <c r="I49" t="s">
        <v>473</v>
      </c>
      <c r="J49" t="s">
        <v>473</v>
      </c>
      <c r="K49" t="s">
        <v>473</v>
      </c>
      <c r="L49" t="s">
        <v>473</v>
      </c>
    </row>
    <row r="50" spans="1:12" x14ac:dyDescent="0.2">
      <c r="A50" t="s">
        <v>13</v>
      </c>
      <c r="B50" t="s">
        <v>126</v>
      </c>
      <c r="C50">
        <v>0.43</v>
      </c>
      <c r="D50" t="s">
        <v>2</v>
      </c>
      <c r="E50">
        <v>85.66</v>
      </c>
      <c r="F50">
        <f t="shared" si="0"/>
        <v>0.5019845902404857</v>
      </c>
      <c r="G50" t="s">
        <v>473</v>
      </c>
      <c r="H50" t="s">
        <v>473</v>
      </c>
      <c r="I50" t="s">
        <v>473</v>
      </c>
      <c r="J50" t="s">
        <v>473</v>
      </c>
      <c r="K50" t="s">
        <v>473</v>
      </c>
      <c r="L50" t="s">
        <v>473</v>
      </c>
    </row>
    <row r="51" spans="1:12" x14ac:dyDescent="0.2">
      <c r="A51" t="s">
        <v>13</v>
      </c>
      <c r="B51" t="s">
        <v>127</v>
      </c>
      <c r="C51">
        <v>0.17</v>
      </c>
      <c r="D51" t="s">
        <v>3</v>
      </c>
      <c r="E51">
        <v>80.599999999999994</v>
      </c>
      <c r="F51">
        <f t="shared" si="0"/>
        <v>0.21091811414392062</v>
      </c>
      <c r="G51" t="s">
        <v>473</v>
      </c>
      <c r="H51" t="s">
        <v>473</v>
      </c>
      <c r="I51" t="s">
        <v>473</v>
      </c>
      <c r="J51" t="s">
        <v>473</v>
      </c>
      <c r="K51" t="s">
        <v>473</v>
      </c>
      <c r="L51" t="s">
        <v>473</v>
      </c>
    </row>
    <row r="52" spans="1:12" x14ac:dyDescent="0.2">
      <c r="A52" t="s">
        <v>13</v>
      </c>
      <c r="B52" t="s">
        <v>128</v>
      </c>
      <c r="C52">
        <v>1.22</v>
      </c>
      <c r="D52" t="s">
        <v>2</v>
      </c>
      <c r="E52">
        <v>87.48</v>
      </c>
      <c r="F52">
        <f t="shared" si="0"/>
        <v>1.394604481024234</v>
      </c>
      <c r="G52" t="s">
        <v>473</v>
      </c>
      <c r="H52" t="s">
        <v>473</v>
      </c>
      <c r="I52" t="s">
        <v>473</v>
      </c>
      <c r="J52" t="s">
        <v>473</v>
      </c>
      <c r="K52" t="s">
        <v>473</v>
      </c>
      <c r="L52" t="s">
        <v>473</v>
      </c>
    </row>
    <row r="53" spans="1:12" x14ac:dyDescent="0.2">
      <c r="A53" t="s">
        <v>13</v>
      </c>
      <c r="B53" t="s">
        <v>129</v>
      </c>
      <c r="C53">
        <v>0.39</v>
      </c>
      <c r="D53" t="s">
        <v>2</v>
      </c>
      <c r="E53">
        <v>91.34</v>
      </c>
      <c r="F53">
        <f t="shared" si="0"/>
        <v>0.4269761331289687</v>
      </c>
      <c r="G53" t="s">
        <v>473</v>
      </c>
      <c r="H53" t="s">
        <v>473</v>
      </c>
      <c r="I53" t="s">
        <v>473</v>
      </c>
      <c r="J53" t="s">
        <v>473</v>
      </c>
      <c r="K53" t="s">
        <v>473</v>
      </c>
      <c r="L53" t="s">
        <v>473</v>
      </c>
    </row>
    <row r="54" spans="1:12" x14ac:dyDescent="0.2">
      <c r="A54" t="s">
        <v>13</v>
      </c>
      <c r="B54" t="s">
        <v>130</v>
      </c>
      <c r="C54">
        <v>0.22</v>
      </c>
      <c r="D54" t="s">
        <v>3</v>
      </c>
      <c r="E54">
        <v>80.540000000000006</v>
      </c>
      <c r="F54">
        <f t="shared" si="0"/>
        <v>0.2731561956791656</v>
      </c>
      <c r="G54" t="s">
        <v>473</v>
      </c>
      <c r="H54" t="s">
        <v>473</v>
      </c>
      <c r="I54" t="s">
        <v>473</v>
      </c>
      <c r="J54" t="s">
        <v>473</v>
      </c>
      <c r="K54" t="s">
        <v>473</v>
      </c>
      <c r="L54" t="s">
        <v>473</v>
      </c>
    </row>
    <row r="55" spans="1:12" x14ac:dyDescent="0.2">
      <c r="A55" t="s">
        <v>13</v>
      </c>
      <c r="B55" t="s">
        <v>131</v>
      </c>
      <c r="C55">
        <v>0.73</v>
      </c>
      <c r="D55" t="s">
        <v>2</v>
      </c>
      <c r="E55">
        <v>97.84</v>
      </c>
      <c r="F55">
        <f t="shared" si="0"/>
        <v>0.74611610793131633</v>
      </c>
      <c r="G55" t="s">
        <v>473</v>
      </c>
      <c r="H55" t="s">
        <v>473</v>
      </c>
      <c r="I55" t="s">
        <v>473</v>
      </c>
      <c r="J55" t="s">
        <v>473</v>
      </c>
      <c r="K55" t="s">
        <v>473</v>
      </c>
      <c r="L55" t="s">
        <v>473</v>
      </c>
    </row>
    <row r="56" spans="1:12" x14ac:dyDescent="0.2">
      <c r="A56" t="s">
        <v>13</v>
      </c>
      <c r="B56" t="s">
        <v>132</v>
      </c>
      <c r="C56">
        <v>0.43</v>
      </c>
      <c r="D56" t="s">
        <v>3</v>
      </c>
      <c r="E56">
        <v>81.31</v>
      </c>
      <c r="F56">
        <f t="shared" si="0"/>
        <v>0.52884024105276095</v>
      </c>
      <c r="G56" t="s">
        <v>473</v>
      </c>
      <c r="H56" t="s">
        <v>473</v>
      </c>
      <c r="I56" t="s">
        <v>473</v>
      </c>
      <c r="J56" t="s">
        <v>473</v>
      </c>
      <c r="K56" t="s">
        <v>473</v>
      </c>
      <c r="L56" t="s">
        <v>473</v>
      </c>
    </row>
    <row r="57" spans="1:12" x14ac:dyDescent="0.2">
      <c r="A57" t="s">
        <v>13</v>
      </c>
      <c r="B57" t="s">
        <v>133</v>
      </c>
      <c r="C57">
        <v>0.36</v>
      </c>
      <c r="D57" t="s">
        <v>3</v>
      </c>
      <c r="E57">
        <v>80.33</v>
      </c>
      <c r="F57">
        <f t="shared" si="0"/>
        <v>0.44815137557575002</v>
      </c>
      <c r="G57" t="s">
        <v>473</v>
      </c>
      <c r="H57" t="s">
        <v>473</v>
      </c>
      <c r="I57" t="s">
        <v>473</v>
      </c>
      <c r="J57" t="s">
        <v>473</v>
      </c>
      <c r="K57" t="s">
        <v>473</v>
      </c>
      <c r="L57" t="s">
        <v>473</v>
      </c>
    </row>
    <row r="58" spans="1:12" x14ac:dyDescent="0.2">
      <c r="A58" t="s">
        <v>13</v>
      </c>
      <c r="B58" t="s">
        <v>134</v>
      </c>
      <c r="C58">
        <v>0.56000000000000005</v>
      </c>
      <c r="D58" t="s">
        <v>5</v>
      </c>
      <c r="E58">
        <v>43.08</v>
      </c>
      <c r="F58">
        <f t="shared" si="0"/>
        <v>1.2999071494893224</v>
      </c>
      <c r="G58" t="s">
        <v>473</v>
      </c>
      <c r="H58" t="s">
        <v>473</v>
      </c>
      <c r="I58" t="s">
        <v>473</v>
      </c>
      <c r="J58" t="s">
        <v>473</v>
      </c>
      <c r="K58" t="s">
        <v>473</v>
      </c>
      <c r="L58" t="s">
        <v>473</v>
      </c>
    </row>
    <row r="59" spans="1:12" x14ac:dyDescent="0.2">
      <c r="A59" t="s">
        <v>13</v>
      </c>
      <c r="B59" t="s">
        <v>135</v>
      </c>
      <c r="C59">
        <v>1.45</v>
      </c>
      <c r="D59" s="2" t="s">
        <v>2</v>
      </c>
      <c r="E59">
        <v>82.62</v>
      </c>
      <c r="F59">
        <f t="shared" si="0"/>
        <v>1.755022996853062</v>
      </c>
      <c r="G59" t="s">
        <v>473</v>
      </c>
      <c r="H59" t="s">
        <v>473</v>
      </c>
      <c r="I59" t="s">
        <v>473</v>
      </c>
      <c r="J59" t="s">
        <v>473</v>
      </c>
      <c r="K59" t="s">
        <v>473</v>
      </c>
      <c r="L59" t="s">
        <v>473</v>
      </c>
    </row>
    <row r="60" spans="1:12" x14ac:dyDescent="0.2">
      <c r="A60" t="s">
        <v>13</v>
      </c>
      <c r="B60" t="s">
        <v>136</v>
      </c>
      <c r="C60">
        <v>2.93</v>
      </c>
      <c r="D60" s="2" t="s">
        <v>2</v>
      </c>
      <c r="E60">
        <v>90.99</v>
      </c>
      <c r="F60">
        <f t="shared" si="0"/>
        <v>3.2201340806682057</v>
      </c>
      <c r="G60" t="s">
        <v>473</v>
      </c>
      <c r="H60" t="s">
        <v>473</v>
      </c>
      <c r="I60" t="s">
        <v>473</v>
      </c>
      <c r="J60" t="s">
        <v>473</v>
      </c>
      <c r="K60" t="s">
        <v>473</v>
      </c>
      <c r="L60" t="s">
        <v>473</v>
      </c>
    </row>
    <row r="61" spans="1:12" x14ac:dyDescent="0.2">
      <c r="A61" t="s">
        <v>13</v>
      </c>
      <c r="B61" t="s">
        <v>137</v>
      </c>
      <c r="C61">
        <v>0.34</v>
      </c>
      <c r="D61" s="2" t="s">
        <v>2</v>
      </c>
      <c r="E61">
        <v>88.67</v>
      </c>
      <c r="F61">
        <f t="shared" si="0"/>
        <v>0.38344423141987144</v>
      </c>
      <c r="G61" t="s">
        <v>473</v>
      </c>
      <c r="H61" t="s">
        <v>473</v>
      </c>
      <c r="I61" t="s">
        <v>473</v>
      </c>
      <c r="J61" t="s">
        <v>473</v>
      </c>
      <c r="K61" t="s">
        <v>473</v>
      </c>
      <c r="L61" t="s">
        <v>473</v>
      </c>
    </row>
    <row r="62" spans="1:12" x14ac:dyDescent="0.2">
      <c r="A62" t="s">
        <v>13</v>
      </c>
      <c r="B62" t="s">
        <v>138</v>
      </c>
      <c r="C62">
        <v>1.37</v>
      </c>
      <c r="D62" s="2" t="s">
        <v>2</v>
      </c>
      <c r="E62">
        <v>85.34</v>
      </c>
      <c r="F62">
        <f t="shared" si="0"/>
        <v>1.6053433325521445</v>
      </c>
      <c r="G62" t="s">
        <v>473</v>
      </c>
      <c r="H62" t="s">
        <v>473</v>
      </c>
      <c r="I62" t="s">
        <v>473</v>
      </c>
      <c r="J62" t="s">
        <v>473</v>
      </c>
      <c r="K62" t="s">
        <v>473</v>
      </c>
      <c r="L62" t="s">
        <v>473</v>
      </c>
    </row>
    <row r="63" spans="1:12" x14ac:dyDescent="0.2">
      <c r="A63" t="s">
        <v>13</v>
      </c>
      <c r="B63" t="s">
        <v>139</v>
      </c>
      <c r="C63">
        <v>0.56000000000000005</v>
      </c>
      <c r="D63" s="2" t="s">
        <v>2</v>
      </c>
      <c r="E63">
        <v>87.32</v>
      </c>
      <c r="F63">
        <f t="shared" si="0"/>
        <v>0.64131928538708205</v>
      </c>
      <c r="G63" t="s">
        <v>473</v>
      </c>
      <c r="H63" t="s">
        <v>473</v>
      </c>
      <c r="I63" t="s">
        <v>473</v>
      </c>
      <c r="J63" t="s">
        <v>473</v>
      </c>
      <c r="K63" t="s">
        <v>473</v>
      </c>
      <c r="L63" t="s">
        <v>473</v>
      </c>
    </row>
    <row r="64" spans="1:12" x14ac:dyDescent="0.2">
      <c r="A64" t="s">
        <v>13</v>
      </c>
      <c r="B64" t="s">
        <v>140</v>
      </c>
      <c r="C64">
        <v>0.4</v>
      </c>
      <c r="D64" s="2" t="s">
        <v>2</v>
      </c>
      <c r="E64">
        <v>89.38</v>
      </c>
      <c r="F64">
        <f t="shared" si="0"/>
        <v>0.44752741105392713</v>
      </c>
      <c r="G64" t="s">
        <v>473</v>
      </c>
      <c r="H64" t="s">
        <v>473</v>
      </c>
      <c r="I64" t="s">
        <v>473</v>
      </c>
      <c r="J64" t="s">
        <v>473</v>
      </c>
      <c r="K64" t="s">
        <v>473</v>
      </c>
      <c r="L64" t="s">
        <v>473</v>
      </c>
    </row>
    <row r="65" spans="1:12" x14ac:dyDescent="0.2">
      <c r="A65" t="s">
        <v>13</v>
      </c>
      <c r="B65" t="s">
        <v>141</v>
      </c>
      <c r="C65">
        <v>0.92</v>
      </c>
      <c r="D65" s="2" t="s">
        <v>2</v>
      </c>
      <c r="E65">
        <v>87.23</v>
      </c>
      <c r="F65">
        <f t="shared" si="0"/>
        <v>1.0546830218961365</v>
      </c>
      <c r="G65" t="s">
        <v>473</v>
      </c>
      <c r="H65" t="s">
        <v>473</v>
      </c>
      <c r="I65" t="s">
        <v>473</v>
      </c>
      <c r="J65" t="s">
        <v>473</v>
      </c>
      <c r="K65" t="s">
        <v>473</v>
      </c>
      <c r="L65" t="s">
        <v>473</v>
      </c>
    </row>
    <row r="66" spans="1:12" x14ac:dyDescent="0.2">
      <c r="A66" t="s">
        <v>13</v>
      </c>
      <c r="B66" t="s">
        <v>142</v>
      </c>
      <c r="C66">
        <v>0.33</v>
      </c>
      <c r="D66" s="2" t="s">
        <v>2</v>
      </c>
      <c r="E66">
        <v>97.82</v>
      </c>
      <c r="F66">
        <f t="shared" ref="F66:F129" si="1">C66/(E66/100)</f>
        <v>0.33735432426906564</v>
      </c>
      <c r="G66" t="s">
        <v>473</v>
      </c>
      <c r="H66" t="s">
        <v>473</v>
      </c>
      <c r="I66" t="s">
        <v>473</v>
      </c>
      <c r="J66" t="s">
        <v>473</v>
      </c>
      <c r="K66" t="s">
        <v>473</v>
      </c>
      <c r="L66" t="s">
        <v>473</v>
      </c>
    </row>
    <row r="67" spans="1:12" x14ac:dyDescent="0.2">
      <c r="A67" t="s">
        <v>13</v>
      </c>
      <c r="B67" t="s">
        <v>143</v>
      </c>
      <c r="C67">
        <v>0.32</v>
      </c>
      <c r="D67" s="2" t="s">
        <v>2</v>
      </c>
      <c r="E67">
        <v>73.7</v>
      </c>
      <c r="F67">
        <f t="shared" si="1"/>
        <v>0.43419267299864317</v>
      </c>
      <c r="G67" t="s">
        <v>473</v>
      </c>
      <c r="H67" t="s">
        <v>473</v>
      </c>
      <c r="I67" t="s">
        <v>473</v>
      </c>
      <c r="J67" t="s">
        <v>473</v>
      </c>
      <c r="K67" t="s">
        <v>473</v>
      </c>
      <c r="L67" t="s">
        <v>473</v>
      </c>
    </row>
    <row r="68" spans="1:12" x14ac:dyDescent="0.2">
      <c r="A68" t="s">
        <v>13</v>
      </c>
      <c r="B68" t="s">
        <v>144</v>
      </c>
      <c r="C68">
        <v>0.8</v>
      </c>
      <c r="D68" s="2" t="s">
        <v>2</v>
      </c>
      <c r="E68">
        <v>88.61</v>
      </c>
      <c r="F68">
        <f t="shared" si="1"/>
        <v>0.9028326373998421</v>
      </c>
      <c r="G68" t="s">
        <v>473</v>
      </c>
      <c r="H68" t="s">
        <v>473</v>
      </c>
      <c r="I68" t="s">
        <v>473</v>
      </c>
      <c r="J68" t="s">
        <v>473</v>
      </c>
      <c r="K68" t="s">
        <v>473</v>
      </c>
      <c r="L68" t="s">
        <v>473</v>
      </c>
    </row>
    <row r="69" spans="1:12" x14ac:dyDescent="0.2">
      <c r="A69" t="s">
        <v>13</v>
      </c>
      <c r="B69" t="s">
        <v>145</v>
      </c>
      <c r="C69">
        <v>0.39</v>
      </c>
      <c r="D69" s="2" t="s">
        <v>2</v>
      </c>
      <c r="E69">
        <v>69.58</v>
      </c>
      <c r="F69">
        <f t="shared" si="1"/>
        <v>0.56050589249784422</v>
      </c>
      <c r="G69" t="s">
        <v>473</v>
      </c>
      <c r="H69" t="s">
        <v>473</v>
      </c>
      <c r="I69" t="s">
        <v>473</v>
      </c>
      <c r="J69" t="s">
        <v>473</v>
      </c>
      <c r="K69" t="s">
        <v>473</v>
      </c>
      <c r="L69" t="s">
        <v>473</v>
      </c>
    </row>
    <row r="70" spans="1:12" x14ac:dyDescent="0.2">
      <c r="A70" t="s">
        <v>13</v>
      </c>
      <c r="B70" t="s">
        <v>146</v>
      </c>
      <c r="C70">
        <v>0.44</v>
      </c>
      <c r="D70" s="2" t="s">
        <v>3</v>
      </c>
      <c r="E70">
        <v>81.34</v>
      </c>
      <c r="F70">
        <f t="shared" si="1"/>
        <v>0.54093926727317432</v>
      </c>
      <c r="G70" t="s">
        <v>473</v>
      </c>
      <c r="H70" t="s">
        <v>473</v>
      </c>
      <c r="I70" t="s">
        <v>473</v>
      </c>
      <c r="J70" t="s">
        <v>473</v>
      </c>
      <c r="K70" t="s">
        <v>473</v>
      </c>
      <c r="L70" t="s">
        <v>473</v>
      </c>
    </row>
    <row r="71" spans="1:12" x14ac:dyDescent="0.2">
      <c r="A71" t="s">
        <v>13</v>
      </c>
      <c r="B71" t="s">
        <v>147</v>
      </c>
      <c r="C71">
        <v>8.5399999999999991</v>
      </c>
      <c r="D71" s="2" t="s">
        <v>2</v>
      </c>
      <c r="E71">
        <v>84.53</v>
      </c>
      <c r="F71">
        <f t="shared" si="1"/>
        <v>10.102922039512597</v>
      </c>
      <c r="G71" t="s">
        <v>473</v>
      </c>
      <c r="H71" t="s">
        <v>473</v>
      </c>
      <c r="I71" t="s">
        <v>473</v>
      </c>
      <c r="J71" t="s">
        <v>473</v>
      </c>
      <c r="K71" t="s">
        <v>473</v>
      </c>
      <c r="L71" t="s">
        <v>473</v>
      </c>
    </row>
    <row r="72" spans="1:12" x14ac:dyDescent="0.2">
      <c r="A72" t="s">
        <v>13</v>
      </c>
      <c r="B72" t="s">
        <v>148</v>
      </c>
      <c r="C72">
        <v>0.17</v>
      </c>
      <c r="D72" s="2" t="s">
        <v>3</v>
      </c>
      <c r="E72">
        <v>79.5</v>
      </c>
      <c r="F72">
        <f t="shared" si="1"/>
        <v>0.21383647798742139</v>
      </c>
      <c r="G72" t="s">
        <v>473</v>
      </c>
      <c r="H72" t="s">
        <v>473</v>
      </c>
      <c r="I72" t="s">
        <v>473</v>
      </c>
      <c r="J72" t="s">
        <v>473</v>
      </c>
      <c r="K72" t="s">
        <v>473</v>
      </c>
      <c r="L72" t="s">
        <v>473</v>
      </c>
    </row>
    <row r="73" spans="1:12" x14ac:dyDescent="0.2">
      <c r="A73" t="s">
        <v>13</v>
      </c>
      <c r="B73" t="s">
        <v>149</v>
      </c>
      <c r="C73">
        <v>0.9</v>
      </c>
      <c r="D73" s="2" t="s">
        <v>2</v>
      </c>
      <c r="E73">
        <v>86.91</v>
      </c>
      <c r="F73">
        <f t="shared" si="1"/>
        <v>1.0355540214014498</v>
      </c>
      <c r="G73" t="s">
        <v>473</v>
      </c>
      <c r="H73" t="s">
        <v>473</v>
      </c>
      <c r="I73" t="s">
        <v>473</v>
      </c>
      <c r="J73" t="s">
        <v>473</v>
      </c>
      <c r="K73" t="s">
        <v>473</v>
      </c>
      <c r="L73" t="s">
        <v>473</v>
      </c>
    </row>
    <row r="74" spans="1:12" x14ac:dyDescent="0.2">
      <c r="A74" t="s">
        <v>13</v>
      </c>
      <c r="B74" t="s">
        <v>150</v>
      </c>
      <c r="C74">
        <v>0.81</v>
      </c>
      <c r="D74" s="2" t="s">
        <v>2</v>
      </c>
      <c r="E74">
        <v>83.73</v>
      </c>
      <c r="F74">
        <f t="shared" si="1"/>
        <v>0.96739519885345759</v>
      </c>
      <c r="G74" t="s">
        <v>473</v>
      </c>
      <c r="H74" t="s">
        <v>473</v>
      </c>
      <c r="I74" t="s">
        <v>473</v>
      </c>
      <c r="J74" t="s">
        <v>473</v>
      </c>
      <c r="K74" t="s">
        <v>473</v>
      </c>
      <c r="L74" t="s">
        <v>473</v>
      </c>
    </row>
    <row r="75" spans="1:12" x14ac:dyDescent="0.2">
      <c r="A75" t="s">
        <v>13</v>
      </c>
      <c r="B75" t="s">
        <v>151</v>
      </c>
      <c r="C75">
        <v>0.63</v>
      </c>
      <c r="D75" s="2" t="s">
        <v>2</v>
      </c>
      <c r="E75">
        <v>90.02</v>
      </c>
      <c r="F75">
        <f t="shared" si="1"/>
        <v>0.69984447900466562</v>
      </c>
      <c r="G75" t="s">
        <v>473</v>
      </c>
      <c r="H75" t="s">
        <v>473</v>
      </c>
      <c r="I75" t="s">
        <v>473</v>
      </c>
      <c r="J75" t="s">
        <v>473</v>
      </c>
      <c r="K75" t="s">
        <v>473</v>
      </c>
      <c r="L75" t="s">
        <v>473</v>
      </c>
    </row>
    <row r="76" spans="1:12" x14ac:dyDescent="0.2">
      <c r="A76" t="s">
        <v>13</v>
      </c>
      <c r="B76" t="s">
        <v>152</v>
      </c>
      <c r="C76">
        <v>0.38</v>
      </c>
      <c r="D76" s="2" t="s">
        <v>3</v>
      </c>
      <c r="E76">
        <v>74.709999999999994</v>
      </c>
      <c r="F76">
        <f t="shared" si="1"/>
        <v>0.50863338241199307</v>
      </c>
      <c r="G76" t="s">
        <v>473</v>
      </c>
      <c r="H76" t="s">
        <v>473</v>
      </c>
      <c r="I76" t="s">
        <v>473</v>
      </c>
      <c r="J76" t="s">
        <v>473</v>
      </c>
      <c r="K76" t="s">
        <v>473</v>
      </c>
      <c r="L76" t="s">
        <v>473</v>
      </c>
    </row>
    <row r="77" spans="1:12" x14ac:dyDescent="0.2">
      <c r="A77" t="s">
        <v>13</v>
      </c>
      <c r="B77" t="s">
        <v>153</v>
      </c>
      <c r="C77">
        <v>8.5299999999999994</v>
      </c>
      <c r="D77" s="2" t="s">
        <v>2</v>
      </c>
      <c r="E77">
        <v>85.29</v>
      </c>
      <c r="F77">
        <f t="shared" si="1"/>
        <v>10.001172470395121</v>
      </c>
      <c r="G77" t="s">
        <v>473</v>
      </c>
      <c r="H77" t="s">
        <v>473</v>
      </c>
      <c r="I77" t="s">
        <v>473</v>
      </c>
      <c r="J77" t="s">
        <v>473</v>
      </c>
      <c r="K77" t="s">
        <v>473</v>
      </c>
      <c r="L77" t="s">
        <v>473</v>
      </c>
    </row>
    <row r="78" spans="1:12" x14ac:dyDescent="0.2">
      <c r="A78" t="s">
        <v>13</v>
      </c>
      <c r="B78" t="s">
        <v>154</v>
      </c>
      <c r="C78">
        <v>8.2100000000000009</v>
      </c>
      <c r="D78" s="2" t="s">
        <v>2</v>
      </c>
      <c r="E78">
        <v>86.52</v>
      </c>
      <c r="F78">
        <f t="shared" si="1"/>
        <v>9.4891354600092477</v>
      </c>
      <c r="G78" t="s">
        <v>473</v>
      </c>
      <c r="H78" t="s">
        <v>473</v>
      </c>
      <c r="I78" t="s">
        <v>473</v>
      </c>
      <c r="J78" t="s">
        <v>473</v>
      </c>
      <c r="K78" t="s">
        <v>473</v>
      </c>
      <c r="L78" t="s">
        <v>473</v>
      </c>
    </row>
    <row r="79" spans="1:12" x14ac:dyDescent="0.2">
      <c r="A79" t="s">
        <v>13</v>
      </c>
      <c r="B79" t="s">
        <v>155</v>
      </c>
      <c r="C79">
        <v>0.31</v>
      </c>
      <c r="D79" s="2" t="s">
        <v>3</v>
      </c>
      <c r="E79">
        <v>97.95</v>
      </c>
      <c r="F79">
        <f t="shared" si="1"/>
        <v>0.31648800408371619</v>
      </c>
      <c r="G79" t="s">
        <v>473</v>
      </c>
      <c r="H79" t="s">
        <v>473</v>
      </c>
      <c r="I79" t="s">
        <v>473</v>
      </c>
      <c r="J79" t="s">
        <v>473</v>
      </c>
      <c r="K79" t="s">
        <v>473</v>
      </c>
      <c r="L79" t="s">
        <v>473</v>
      </c>
    </row>
    <row r="80" spans="1:12" x14ac:dyDescent="0.2">
      <c r="A80" t="s">
        <v>13</v>
      </c>
      <c r="B80" t="s">
        <v>156</v>
      </c>
      <c r="C80">
        <v>0.12</v>
      </c>
      <c r="D80" s="2" t="s">
        <v>3</v>
      </c>
      <c r="E80">
        <v>82.89</v>
      </c>
      <c r="F80">
        <f t="shared" si="1"/>
        <v>0.14477017734346725</v>
      </c>
      <c r="G80" t="s">
        <v>473</v>
      </c>
      <c r="H80" t="s">
        <v>473</v>
      </c>
      <c r="I80" t="s">
        <v>473</v>
      </c>
      <c r="J80" t="s">
        <v>473</v>
      </c>
      <c r="K80" t="s">
        <v>473</v>
      </c>
      <c r="L80" t="s">
        <v>473</v>
      </c>
    </row>
    <row r="81" spans="1:12" x14ac:dyDescent="0.2">
      <c r="A81" t="s">
        <v>13</v>
      </c>
      <c r="B81" t="s">
        <v>157</v>
      </c>
      <c r="C81">
        <v>0.18</v>
      </c>
      <c r="D81" s="2" t="s">
        <v>3</v>
      </c>
      <c r="E81">
        <v>82.94</v>
      </c>
      <c r="F81">
        <f t="shared" si="1"/>
        <v>0.21702435495538944</v>
      </c>
      <c r="G81" t="s">
        <v>473</v>
      </c>
      <c r="H81" t="s">
        <v>473</v>
      </c>
      <c r="I81" t="s">
        <v>473</v>
      </c>
      <c r="J81" t="s">
        <v>473</v>
      </c>
      <c r="K81" t="s">
        <v>473</v>
      </c>
      <c r="L81" t="s">
        <v>473</v>
      </c>
    </row>
    <row r="82" spans="1:12" x14ac:dyDescent="0.2">
      <c r="A82" t="s">
        <v>13</v>
      </c>
      <c r="B82" t="s">
        <v>158</v>
      </c>
      <c r="C82">
        <v>5.03</v>
      </c>
      <c r="D82" s="2" t="s">
        <v>2</v>
      </c>
      <c r="E82">
        <v>90.15</v>
      </c>
      <c r="F82">
        <f t="shared" si="1"/>
        <v>5.5795895729339984</v>
      </c>
      <c r="G82" t="s">
        <v>473</v>
      </c>
      <c r="H82" t="s">
        <v>473</v>
      </c>
      <c r="I82" t="s">
        <v>473</v>
      </c>
      <c r="J82" t="s">
        <v>473</v>
      </c>
      <c r="K82" t="s">
        <v>473</v>
      </c>
      <c r="L82" t="s">
        <v>473</v>
      </c>
    </row>
    <row r="83" spans="1:12" x14ac:dyDescent="0.2">
      <c r="A83" t="s">
        <v>13</v>
      </c>
      <c r="B83" t="s">
        <v>159</v>
      </c>
      <c r="C83">
        <v>0.59</v>
      </c>
      <c r="D83" s="2" t="s">
        <v>2</v>
      </c>
      <c r="E83">
        <v>84.49</v>
      </c>
      <c r="F83">
        <f t="shared" si="1"/>
        <v>0.69830749201088882</v>
      </c>
      <c r="G83" t="s">
        <v>473</v>
      </c>
      <c r="H83" t="s">
        <v>473</v>
      </c>
      <c r="I83" t="s">
        <v>473</v>
      </c>
      <c r="J83" t="s">
        <v>473</v>
      </c>
      <c r="K83" t="s">
        <v>473</v>
      </c>
      <c r="L83" t="s">
        <v>473</v>
      </c>
    </row>
    <row r="84" spans="1:12" x14ac:dyDescent="0.2">
      <c r="A84" t="s">
        <v>13</v>
      </c>
      <c r="B84" t="s">
        <v>160</v>
      </c>
      <c r="C84">
        <v>0.4</v>
      </c>
      <c r="D84" s="2" t="s">
        <v>5</v>
      </c>
      <c r="E84">
        <v>85.24</v>
      </c>
      <c r="F84">
        <f t="shared" si="1"/>
        <v>0.46926325668700147</v>
      </c>
      <c r="G84" t="s">
        <v>473</v>
      </c>
      <c r="H84" t="s">
        <v>473</v>
      </c>
      <c r="I84" t="s">
        <v>473</v>
      </c>
      <c r="J84" t="s">
        <v>473</v>
      </c>
      <c r="K84" t="s">
        <v>473</v>
      </c>
      <c r="L84" t="s">
        <v>473</v>
      </c>
    </row>
    <row r="85" spans="1:12" x14ac:dyDescent="0.2">
      <c r="A85" t="s">
        <v>13</v>
      </c>
      <c r="B85" t="s">
        <v>161</v>
      </c>
      <c r="C85">
        <v>0.27</v>
      </c>
      <c r="D85" s="2" t="s">
        <v>2</v>
      </c>
      <c r="E85">
        <v>98.49</v>
      </c>
      <c r="F85">
        <f t="shared" si="1"/>
        <v>0.27413950654888825</v>
      </c>
      <c r="G85" t="s">
        <v>473</v>
      </c>
      <c r="H85" t="s">
        <v>473</v>
      </c>
      <c r="I85" t="s">
        <v>473</v>
      </c>
      <c r="J85" t="s">
        <v>473</v>
      </c>
      <c r="K85" t="s">
        <v>473</v>
      </c>
      <c r="L85" t="s">
        <v>473</v>
      </c>
    </row>
    <row r="86" spans="1:12" x14ac:dyDescent="0.2">
      <c r="A86" t="s">
        <v>13</v>
      </c>
      <c r="B86" t="s">
        <v>162</v>
      </c>
      <c r="C86">
        <v>0.93</v>
      </c>
      <c r="D86" s="2" t="s">
        <v>2</v>
      </c>
      <c r="E86">
        <v>94.84</v>
      </c>
      <c r="F86">
        <f t="shared" si="1"/>
        <v>0.98059890341628009</v>
      </c>
      <c r="G86" t="s">
        <v>473</v>
      </c>
      <c r="H86" t="s">
        <v>473</v>
      </c>
      <c r="I86" t="s">
        <v>473</v>
      </c>
      <c r="J86" t="s">
        <v>473</v>
      </c>
      <c r="K86" t="s">
        <v>473</v>
      </c>
      <c r="L86" t="s">
        <v>473</v>
      </c>
    </row>
    <row r="87" spans="1:12" x14ac:dyDescent="0.2">
      <c r="A87" t="s">
        <v>13</v>
      </c>
      <c r="B87" t="s">
        <v>163</v>
      </c>
      <c r="C87">
        <v>0.13</v>
      </c>
      <c r="D87" s="2" t="s">
        <v>3</v>
      </c>
      <c r="E87">
        <v>82.78</v>
      </c>
      <c r="F87">
        <f t="shared" si="1"/>
        <v>0.15704276395264558</v>
      </c>
      <c r="G87" t="s">
        <v>473</v>
      </c>
      <c r="H87" t="s">
        <v>473</v>
      </c>
      <c r="I87" t="s">
        <v>473</v>
      </c>
      <c r="J87" t="s">
        <v>473</v>
      </c>
      <c r="K87" t="s">
        <v>473</v>
      </c>
      <c r="L87" t="s">
        <v>473</v>
      </c>
    </row>
    <row r="88" spans="1:12" x14ac:dyDescent="0.2">
      <c r="A88" t="s">
        <v>13</v>
      </c>
      <c r="B88" t="s">
        <v>164</v>
      </c>
      <c r="C88">
        <v>0.28000000000000003</v>
      </c>
      <c r="D88" s="2" t="s">
        <v>2</v>
      </c>
      <c r="E88">
        <v>88.87</v>
      </c>
      <c r="F88">
        <f t="shared" si="1"/>
        <v>0.31506695172724203</v>
      </c>
      <c r="G88" t="s">
        <v>473</v>
      </c>
      <c r="H88" t="s">
        <v>473</v>
      </c>
      <c r="I88" t="s">
        <v>473</v>
      </c>
      <c r="J88" t="s">
        <v>473</v>
      </c>
      <c r="K88" t="s">
        <v>473</v>
      </c>
      <c r="L88" t="s">
        <v>473</v>
      </c>
    </row>
    <row r="89" spans="1:12" x14ac:dyDescent="0.2">
      <c r="A89" t="s">
        <v>13</v>
      </c>
      <c r="B89" t="s">
        <v>165</v>
      </c>
      <c r="C89">
        <v>0.12</v>
      </c>
      <c r="D89" s="2" t="s">
        <v>3</v>
      </c>
      <c r="E89">
        <v>78.34</v>
      </c>
      <c r="F89">
        <f t="shared" si="1"/>
        <v>0.15317845289762574</v>
      </c>
      <c r="G89" t="s">
        <v>473</v>
      </c>
      <c r="H89" t="s">
        <v>473</v>
      </c>
      <c r="I89" t="s">
        <v>473</v>
      </c>
      <c r="J89" t="s">
        <v>473</v>
      </c>
      <c r="K89" t="s">
        <v>473</v>
      </c>
      <c r="L89" t="s">
        <v>473</v>
      </c>
    </row>
    <row r="90" spans="1:12" x14ac:dyDescent="0.2">
      <c r="A90" t="s">
        <v>13</v>
      </c>
      <c r="B90" t="s">
        <v>166</v>
      </c>
      <c r="C90">
        <v>0.67</v>
      </c>
      <c r="D90" s="2" t="s">
        <v>2</v>
      </c>
      <c r="E90">
        <v>93.48</v>
      </c>
      <c r="F90">
        <f t="shared" si="1"/>
        <v>0.71673085151904148</v>
      </c>
      <c r="G90" t="s">
        <v>473</v>
      </c>
      <c r="H90" t="s">
        <v>473</v>
      </c>
      <c r="I90" t="s">
        <v>473</v>
      </c>
      <c r="J90" t="s">
        <v>473</v>
      </c>
      <c r="K90" t="s">
        <v>473</v>
      </c>
      <c r="L90" t="s">
        <v>473</v>
      </c>
    </row>
    <row r="91" spans="1:12" x14ac:dyDescent="0.2">
      <c r="A91" t="s">
        <v>13</v>
      </c>
      <c r="B91" t="s">
        <v>167</v>
      </c>
      <c r="C91">
        <v>0.37</v>
      </c>
      <c r="D91" s="2" t="s">
        <v>3</v>
      </c>
      <c r="E91">
        <v>77.66</v>
      </c>
      <c r="F91">
        <f t="shared" si="1"/>
        <v>0.47643574555755863</v>
      </c>
      <c r="G91" t="s">
        <v>473</v>
      </c>
      <c r="H91" t="s">
        <v>473</v>
      </c>
      <c r="I91" t="s">
        <v>473</v>
      </c>
      <c r="J91" t="s">
        <v>473</v>
      </c>
      <c r="K91" t="s">
        <v>473</v>
      </c>
      <c r="L91" t="s">
        <v>473</v>
      </c>
    </row>
    <row r="92" spans="1:12" x14ac:dyDescent="0.2">
      <c r="A92" t="s">
        <v>13</v>
      </c>
      <c r="B92" t="s">
        <v>168</v>
      </c>
      <c r="C92">
        <v>1.1599999999999999</v>
      </c>
      <c r="D92" s="2" t="s">
        <v>2</v>
      </c>
      <c r="E92">
        <v>85.96</v>
      </c>
      <c r="F92">
        <f t="shared" si="1"/>
        <v>1.3494648673801768</v>
      </c>
      <c r="G92" t="s">
        <v>473</v>
      </c>
      <c r="H92" t="s">
        <v>473</v>
      </c>
      <c r="I92" t="s">
        <v>473</v>
      </c>
      <c r="J92" t="s">
        <v>473</v>
      </c>
      <c r="K92" t="s">
        <v>473</v>
      </c>
      <c r="L92" t="s">
        <v>473</v>
      </c>
    </row>
    <row r="93" spans="1:12" x14ac:dyDescent="0.2">
      <c r="A93" t="s">
        <v>13</v>
      </c>
      <c r="B93" t="s">
        <v>169</v>
      </c>
      <c r="C93">
        <v>0.55000000000000004</v>
      </c>
      <c r="D93" s="2" t="s">
        <v>6</v>
      </c>
      <c r="E93">
        <v>87.88</v>
      </c>
      <c r="F93">
        <f t="shared" si="1"/>
        <v>0.62585343650432423</v>
      </c>
      <c r="G93" t="s">
        <v>473</v>
      </c>
      <c r="H93" t="s">
        <v>473</v>
      </c>
      <c r="I93" t="s">
        <v>473</v>
      </c>
      <c r="J93" t="s">
        <v>473</v>
      </c>
      <c r="K93" t="s">
        <v>473</v>
      </c>
      <c r="L93" t="s">
        <v>473</v>
      </c>
    </row>
    <row r="94" spans="1:12" x14ac:dyDescent="0.2">
      <c r="A94" t="s">
        <v>13</v>
      </c>
      <c r="B94" t="s">
        <v>170</v>
      </c>
      <c r="C94">
        <v>0.76</v>
      </c>
      <c r="D94" s="2" t="s">
        <v>2</v>
      </c>
      <c r="E94">
        <v>81.489999999999995</v>
      </c>
      <c r="F94">
        <f t="shared" si="1"/>
        <v>0.93262977052399076</v>
      </c>
      <c r="G94" t="s">
        <v>473</v>
      </c>
      <c r="H94" t="s">
        <v>473</v>
      </c>
      <c r="I94" t="s">
        <v>473</v>
      </c>
      <c r="J94" t="s">
        <v>473</v>
      </c>
      <c r="K94" t="s">
        <v>473</v>
      </c>
      <c r="L94" t="s">
        <v>473</v>
      </c>
    </row>
    <row r="95" spans="1:12" x14ac:dyDescent="0.2">
      <c r="A95" t="s">
        <v>13</v>
      </c>
      <c r="B95" t="s">
        <v>171</v>
      </c>
      <c r="C95">
        <v>0.98</v>
      </c>
      <c r="D95" s="2" t="s">
        <v>3</v>
      </c>
      <c r="E95">
        <v>81.93</v>
      </c>
      <c r="F95">
        <f t="shared" si="1"/>
        <v>1.1961430489442206</v>
      </c>
      <c r="G95" t="s">
        <v>473</v>
      </c>
      <c r="H95" t="s">
        <v>473</v>
      </c>
      <c r="I95" t="s">
        <v>473</v>
      </c>
      <c r="J95" t="s">
        <v>473</v>
      </c>
      <c r="K95" t="s">
        <v>473</v>
      </c>
      <c r="L95" t="s">
        <v>473</v>
      </c>
    </row>
    <row r="96" spans="1:12" x14ac:dyDescent="0.2">
      <c r="A96" t="s">
        <v>13</v>
      </c>
      <c r="B96" t="s">
        <v>172</v>
      </c>
      <c r="C96">
        <v>0.34</v>
      </c>
      <c r="D96" s="2" t="s">
        <v>2</v>
      </c>
      <c r="E96">
        <v>92.04</v>
      </c>
      <c r="F96">
        <f t="shared" si="1"/>
        <v>0.36940460669274228</v>
      </c>
      <c r="G96" t="s">
        <v>473</v>
      </c>
      <c r="H96" t="s">
        <v>473</v>
      </c>
      <c r="I96" t="s">
        <v>473</v>
      </c>
      <c r="J96" t="s">
        <v>473</v>
      </c>
      <c r="K96" t="s">
        <v>473</v>
      </c>
      <c r="L96" t="s">
        <v>473</v>
      </c>
    </row>
    <row r="97" spans="1:12" x14ac:dyDescent="0.2">
      <c r="A97" t="s">
        <v>13</v>
      </c>
      <c r="B97" t="s">
        <v>173</v>
      </c>
      <c r="C97">
        <v>0.17</v>
      </c>
      <c r="D97" s="2" t="s">
        <v>2</v>
      </c>
      <c r="E97">
        <v>90.27</v>
      </c>
      <c r="F97">
        <f t="shared" si="1"/>
        <v>0.18832391713747648</v>
      </c>
      <c r="G97" t="s">
        <v>473</v>
      </c>
      <c r="H97" t="s">
        <v>473</v>
      </c>
      <c r="I97" t="s">
        <v>473</v>
      </c>
      <c r="J97" t="s">
        <v>473</v>
      </c>
      <c r="K97" t="s">
        <v>473</v>
      </c>
      <c r="L97" t="s">
        <v>473</v>
      </c>
    </row>
    <row r="98" spans="1:12" x14ac:dyDescent="0.2">
      <c r="A98" t="s">
        <v>13</v>
      </c>
      <c r="B98" t="s">
        <v>174</v>
      </c>
      <c r="C98">
        <v>0.34</v>
      </c>
      <c r="D98" s="2" t="s">
        <v>2</v>
      </c>
      <c r="E98">
        <v>72.430000000000007</v>
      </c>
      <c r="F98">
        <f t="shared" si="1"/>
        <v>0.46941874913709791</v>
      </c>
      <c r="G98" t="s">
        <v>473</v>
      </c>
      <c r="H98" t="s">
        <v>473</v>
      </c>
      <c r="I98" t="s">
        <v>473</v>
      </c>
      <c r="J98" t="s">
        <v>473</v>
      </c>
      <c r="K98" t="s">
        <v>473</v>
      </c>
      <c r="L98" t="s">
        <v>473</v>
      </c>
    </row>
    <row r="99" spans="1:12" x14ac:dyDescent="0.2">
      <c r="A99" t="s">
        <v>13</v>
      </c>
      <c r="B99" t="s">
        <v>175</v>
      </c>
      <c r="C99">
        <v>0.38</v>
      </c>
      <c r="D99" s="2" t="s">
        <v>3</v>
      </c>
      <c r="E99">
        <v>68.23</v>
      </c>
      <c r="F99">
        <f t="shared" si="1"/>
        <v>0.55693976256778543</v>
      </c>
      <c r="G99" t="s">
        <v>473</v>
      </c>
      <c r="H99" t="s">
        <v>473</v>
      </c>
      <c r="I99" t="s">
        <v>473</v>
      </c>
      <c r="J99" t="s">
        <v>473</v>
      </c>
      <c r="K99" t="s">
        <v>473</v>
      </c>
      <c r="L99" t="s">
        <v>473</v>
      </c>
    </row>
    <row r="100" spans="1:12" x14ac:dyDescent="0.2">
      <c r="A100" t="s">
        <v>13</v>
      </c>
      <c r="B100" t="s">
        <v>176</v>
      </c>
      <c r="C100">
        <v>0.28000000000000003</v>
      </c>
      <c r="D100" s="2" t="s">
        <v>3</v>
      </c>
      <c r="E100">
        <v>92.79</v>
      </c>
      <c r="F100">
        <f t="shared" si="1"/>
        <v>0.30175665481194097</v>
      </c>
      <c r="G100" t="s">
        <v>473</v>
      </c>
      <c r="H100" t="s">
        <v>473</v>
      </c>
      <c r="I100" t="s">
        <v>473</v>
      </c>
      <c r="J100" t="s">
        <v>473</v>
      </c>
      <c r="K100" t="s">
        <v>473</v>
      </c>
      <c r="L100" t="s">
        <v>473</v>
      </c>
    </row>
    <row r="101" spans="1:12" x14ac:dyDescent="0.2">
      <c r="A101" t="s">
        <v>13</v>
      </c>
      <c r="B101" t="s">
        <v>177</v>
      </c>
      <c r="C101">
        <v>0.28000000000000003</v>
      </c>
      <c r="D101" s="2" t="s">
        <v>2</v>
      </c>
      <c r="E101">
        <v>74.86</v>
      </c>
      <c r="F101">
        <f t="shared" si="1"/>
        <v>0.37403152551429336</v>
      </c>
      <c r="G101" t="s">
        <v>473</v>
      </c>
      <c r="H101" t="s">
        <v>473</v>
      </c>
      <c r="I101" t="s">
        <v>473</v>
      </c>
      <c r="J101" t="s">
        <v>473</v>
      </c>
      <c r="K101" t="s">
        <v>473</v>
      </c>
      <c r="L101" t="s">
        <v>473</v>
      </c>
    </row>
    <row r="102" spans="1:12" x14ac:dyDescent="0.2">
      <c r="A102" t="s">
        <v>13</v>
      </c>
      <c r="B102" t="s">
        <v>178</v>
      </c>
      <c r="C102">
        <v>0.94</v>
      </c>
      <c r="D102" s="2" t="s">
        <v>2</v>
      </c>
      <c r="E102">
        <v>82.5</v>
      </c>
      <c r="F102">
        <f t="shared" si="1"/>
        <v>1.1393939393939394</v>
      </c>
      <c r="G102" t="s">
        <v>473</v>
      </c>
      <c r="H102" t="s">
        <v>473</v>
      </c>
      <c r="I102" t="s">
        <v>473</v>
      </c>
      <c r="J102" t="s">
        <v>473</v>
      </c>
      <c r="K102" t="s">
        <v>473</v>
      </c>
      <c r="L102" t="s">
        <v>473</v>
      </c>
    </row>
    <row r="103" spans="1:12" x14ac:dyDescent="0.2">
      <c r="A103" t="s">
        <v>13</v>
      </c>
      <c r="B103" t="s">
        <v>179</v>
      </c>
      <c r="C103">
        <v>0.31</v>
      </c>
      <c r="D103" s="2" t="s">
        <v>5</v>
      </c>
      <c r="E103">
        <v>65.78</v>
      </c>
      <c r="F103">
        <f t="shared" si="1"/>
        <v>0.47126786257221037</v>
      </c>
      <c r="G103" t="s">
        <v>473</v>
      </c>
      <c r="H103" t="s">
        <v>473</v>
      </c>
      <c r="I103" t="s">
        <v>473</v>
      </c>
      <c r="J103" t="s">
        <v>473</v>
      </c>
      <c r="K103" t="s">
        <v>473</v>
      </c>
      <c r="L103" t="s">
        <v>473</v>
      </c>
    </row>
    <row r="104" spans="1:12" x14ac:dyDescent="0.2">
      <c r="A104" t="s">
        <v>13</v>
      </c>
      <c r="B104" t="s">
        <v>180</v>
      </c>
      <c r="C104">
        <v>0.1</v>
      </c>
      <c r="D104" s="2" t="s">
        <v>2</v>
      </c>
      <c r="E104">
        <v>76.23</v>
      </c>
      <c r="F104">
        <f t="shared" si="1"/>
        <v>0.13118194936376754</v>
      </c>
      <c r="G104" t="s">
        <v>473</v>
      </c>
      <c r="H104" t="s">
        <v>473</v>
      </c>
      <c r="I104" t="s">
        <v>473</v>
      </c>
      <c r="J104" t="s">
        <v>473</v>
      </c>
      <c r="K104" t="s">
        <v>473</v>
      </c>
      <c r="L104" t="s">
        <v>473</v>
      </c>
    </row>
    <row r="105" spans="1:12" x14ac:dyDescent="0.2">
      <c r="A105" t="s">
        <v>13</v>
      </c>
      <c r="B105" t="s">
        <v>181</v>
      </c>
      <c r="C105">
        <v>0.28000000000000003</v>
      </c>
      <c r="D105" s="2" t="s">
        <v>2</v>
      </c>
      <c r="E105">
        <v>72.69</v>
      </c>
      <c r="F105">
        <f t="shared" si="1"/>
        <v>0.38519741367450822</v>
      </c>
      <c r="G105" t="s">
        <v>473</v>
      </c>
      <c r="H105" t="s">
        <v>473</v>
      </c>
      <c r="I105" t="s">
        <v>473</v>
      </c>
      <c r="J105" t="s">
        <v>473</v>
      </c>
      <c r="K105" t="s">
        <v>473</v>
      </c>
      <c r="L105" t="s">
        <v>473</v>
      </c>
    </row>
    <row r="106" spans="1:12" x14ac:dyDescent="0.2">
      <c r="A106" t="s">
        <v>13</v>
      </c>
      <c r="B106" t="s">
        <v>182</v>
      </c>
      <c r="C106">
        <v>0.4</v>
      </c>
      <c r="D106" s="2" t="s">
        <v>5</v>
      </c>
      <c r="E106">
        <v>73.41</v>
      </c>
      <c r="F106">
        <f t="shared" si="1"/>
        <v>0.5448848930663398</v>
      </c>
      <c r="G106" t="s">
        <v>473</v>
      </c>
      <c r="H106" t="s">
        <v>473</v>
      </c>
      <c r="I106" t="s">
        <v>473</v>
      </c>
      <c r="J106" t="s">
        <v>473</v>
      </c>
      <c r="K106" t="s">
        <v>473</v>
      </c>
      <c r="L106" t="s">
        <v>473</v>
      </c>
    </row>
    <row r="107" spans="1:12" x14ac:dyDescent="0.2">
      <c r="A107" t="s">
        <v>13</v>
      </c>
      <c r="B107" t="s">
        <v>183</v>
      </c>
      <c r="C107">
        <v>0.28999999999999998</v>
      </c>
      <c r="D107" s="2" t="s">
        <v>2</v>
      </c>
      <c r="E107">
        <v>93.3</v>
      </c>
      <c r="F107">
        <f t="shared" si="1"/>
        <v>0.31082529474812431</v>
      </c>
      <c r="G107" t="s">
        <v>473</v>
      </c>
      <c r="H107" t="s">
        <v>473</v>
      </c>
      <c r="I107" t="s">
        <v>473</v>
      </c>
      <c r="J107" t="s">
        <v>473</v>
      </c>
      <c r="K107" t="s">
        <v>473</v>
      </c>
      <c r="L107" t="s">
        <v>473</v>
      </c>
    </row>
    <row r="108" spans="1:12" x14ac:dyDescent="0.2">
      <c r="A108" t="s">
        <v>13</v>
      </c>
      <c r="B108" t="s">
        <v>184</v>
      </c>
      <c r="C108">
        <v>0.11</v>
      </c>
      <c r="D108" s="2" t="s">
        <v>3</v>
      </c>
      <c r="E108">
        <v>82.5</v>
      </c>
      <c r="F108">
        <f t="shared" si="1"/>
        <v>0.13333333333333333</v>
      </c>
      <c r="G108" t="s">
        <v>473</v>
      </c>
      <c r="H108" t="s">
        <v>473</v>
      </c>
      <c r="I108" t="s">
        <v>473</v>
      </c>
      <c r="J108" t="s">
        <v>473</v>
      </c>
      <c r="K108" t="s">
        <v>473</v>
      </c>
      <c r="L108" t="s">
        <v>473</v>
      </c>
    </row>
    <row r="109" spans="1:12" x14ac:dyDescent="0.2">
      <c r="A109" t="s">
        <v>13</v>
      </c>
      <c r="B109" t="s">
        <v>185</v>
      </c>
      <c r="C109">
        <v>0.72</v>
      </c>
      <c r="D109" s="2" t="s">
        <v>2</v>
      </c>
      <c r="E109">
        <v>91.94</v>
      </c>
      <c r="F109">
        <f t="shared" si="1"/>
        <v>0.7831194257124211</v>
      </c>
      <c r="G109" t="s">
        <v>473</v>
      </c>
      <c r="H109" t="s">
        <v>473</v>
      </c>
      <c r="I109" t="s">
        <v>473</v>
      </c>
      <c r="J109" t="s">
        <v>473</v>
      </c>
      <c r="K109" t="s">
        <v>473</v>
      </c>
      <c r="L109" t="s">
        <v>473</v>
      </c>
    </row>
    <row r="110" spans="1:12" x14ac:dyDescent="0.2">
      <c r="A110" t="s">
        <v>13</v>
      </c>
      <c r="B110" t="s">
        <v>186</v>
      </c>
      <c r="C110">
        <v>0.13</v>
      </c>
      <c r="D110" s="2" t="s">
        <v>3</v>
      </c>
      <c r="E110">
        <v>44.6</v>
      </c>
      <c r="F110">
        <f t="shared" si="1"/>
        <v>0.2914798206278027</v>
      </c>
      <c r="G110" t="s">
        <v>473</v>
      </c>
      <c r="H110" t="s">
        <v>473</v>
      </c>
      <c r="I110" t="s">
        <v>473</v>
      </c>
      <c r="J110" t="s">
        <v>473</v>
      </c>
      <c r="K110" t="s">
        <v>473</v>
      </c>
      <c r="L110" t="s">
        <v>473</v>
      </c>
    </row>
    <row r="111" spans="1:12" x14ac:dyDescent="0.2">
      <c r="A111" t="s">
        <v>13</v>
      </c>
      <c r="B111" t="s">
        <v>187</v>
      </c>
      <c r="C111">
        <v>0.95</v>
      </c>
      <c r="D111" s="2" t="s">
        <v>2</v>
      </c>
      <c r="E111">
        <v>87.8</v>
      </c>
      <c r="F111">
        <f t="shared" si="1"/>
        <v>1.082004555808656</v>
      </c>
      <c r="G111" t="s">
        <v>473</v>
      </c>
      <c r="H111" t="s">
        <v>473</v>
      </c>
      <c r="I111" t="s">
        <v>473</v>
      </c>
      <c r="J111" t="s">
        <v>473</v>
      </c>
      <c r="K111" t="s">
        <v>473</v>
      </c>
      <c r="L111" t="s">
        <v>473</v>
      </c>
    </row>
    <row r="112" spans="1:12" x14ac:dyDescent="0.2">
      <c r="A112" t="s">
        <v>13</v>
      </c>
      <c r="B112" t="s">
        <v>188</v>
      </c>
      <c r="C112">
        <v>0.81</v>
      </c>
      <c r="D112" s="2" t="s">
        <v>3</v>
      </c>
      <c r="E112">
        <v>69.27</v>
      </c>
      <c r="F112">
        <f t="shared" si="1"/>
        <v>1.1693373754872241</v>
      </c>
      <c r="G112" t="s">
        <v>473</v>
      </c>
      <c r="H112" t="s">
        <v>473</v>
      </c>
      <c r="I112" t="s">
        <v>473</v>
      </c>
      <c r="J112" t="s">
        <v>473</v>
      </c>
      <c r="K112" t="s">
        <v>473</v>
      </c>
      <c r="L112" t="s">
        <v>473</v>
      </c>
    </row>
    <row r="113" spans="1:12" x14ac:dyDescent="0.2">
      <c r="A113" t="s">
        <v>13</v>
      </c>
      <c r="B113" t="s">
        <v>189</v>
      </c>
      <c r="C113">
        <v>0.73</v>
      </c>
      <c r="D113" s="2" t="s">
        <v>3</v>
      </c>
      <c r="E113">
        <v>94.66</v>
      </c>
      <c r="F113">
        <f t="shared" si="1"/>
        <v>0.77118106908937245</v>
      </c>
      <c r="G113" t="s">
        <v>473</v>
      </c>
      <c r="H113" t="s">
        <v>473</v>
      </c>
      <c r="I113" t="s">
        <v>473</v>
      </c>
      <c r="J113" t="s">
        <v>473</v>
      </c>
      <c r="K113" t="s">
        <v>473</v>
      </c>
      <c r="L113" t="s">
        <v>473</v>
      </c>
    </row>
    <row r="114" spans="1:12" x14ac:dyDescent="0.2">
      <c r="A114" t="s">
        <v>13</v>
      </c>
      <c r="B114" t="s">
        <v>190</v>
      </c>
      <c r="C114">
        <v>1.04</v>
      </c>
      <c r="D114" s="2" t="s">
        <v>2</v>
      </c>
      <c r="E114">
        <v>87.96</v>
      </c>
      <c r="F114">
        <f t="shared" si="1"/>
        <v>1.1823556161891771</v>
      </c>
      <c r="G114" t="s">
        <v>473</v>
      </c>
      <c r="H114" t="s">
        <v>473</v>
      </c>
      <c r="I114" t="s">
        <v>473</v>
      </c>
      <c r="J114" t="s">
        <v>473</v>
      </c>
      <c r="K114" t="s">
        <v>473</v>
      </c>
      <c r="L114" t="s">
        <v>473</v>
      </c>
    </row>
    <row r="115" spans="1:12" x14ac:dyDescent="0.2">
      <c r="A115" t="s">
        <v>13</v>
      </c>
      <c r="B115" t="s">
        <v>191</v>
      </c>
      <c r="C115">
        <v>1.04</v>
      </c>
      <c r="D115" s="2" t="s">
        <v>2</v>
      </c>
      <c r="E115">
        <v>87.96</v>
      </c>
      <c r="F115">
        <f t="shared" si="1"/>
        <v>1.1823556161891771</v>
      </c>
      <c r="G115" t="s">
        <v>473</v>
      </c>
      <c r="H115" t="s">
        <v>473</v>
      </c>
      <c r="I115" t="s">
        <v>473</v>
      </c>
      <c r="J115" t="s">
        <v>473</v>
      </c>
      <c r="K115" t="s">
        <v>473</v>
      </c>
      <c r="L115" t="s">
        <v>473</v>
      </c>
    </row>
    <row r="116" spans="1:12" x14ac:dyDescent="0.2">
      <c r="A116" t="s">
        <v>13</v>
      </c>
      <c r="B116" t="s">
        <v>192</v>
      </c>
      <c r="C116">
        <v>0.43</v>
      </c>
      <c r="D116" s="2" t="s">
        <v>3</v>
      </c>
      <c r="E116">
        <v>66.67</v>
      </c>
      <c r="F116">
        <f t="shared" si="1"/>
        <v>0.64496775161241926</v>
      </c>
      <c r="G116" t="s">
        <v>473</v>
      </c>
      <c r="H116" t="s">
        <v>473</v>
      </c>
      <c r="I116" t="s">
        <v>473</v>
      </c>
      <c r="J116" t="s">
        <v>473</v>
      </c>
      <c r="K116" t="s">
        <v>473</v>
      </c>
      <c r="L116" t="s">
        <v>473</v>
      </c>
    </row>
    <row r="117" spans="1:12" x14ac:dyDescent="0.2">
      <c r="A117" t="s">
        <v>13</v>
      </c>
      <c r="B117" t="s">
        <v>193</v>
      </c>
      <c r="C117">
        <v>0.79</v>
      </c>
      <c r="D117" s="2" t="s">
        <v>2</v>
      </c>
      <c r="E117">
        <v>82.85</v>
      </c>
      <c r="F117">
        <f t="shared" si="1"/>
        <v>0.9535304767652385</v>
      </c>
      <c r="G117" t="s">
        <v>473</v>
      </c>
      <c r="H117" t="s">
        <v>473</v>
      </c>
      <c r="I117" t="s">
        <v>473</v>
      </c>
      <c r="J117" t="s">
        <v>473</v>
      </c>
      <c r="K117" t="s">
        <v>473</v>
      </c>
      <c r="L117" t="s">
        <v>473</v>
      </c>
    </row>
    <row r="118" spans="1:12" x14ac:dyDescent="0.2">
      <c r="A118" t="s">
        <v>13</v>
      </c>
      <c r="B118" t="s">
        <v>194</v>
      </c>
      <c r="C118">
        <v>0.56000000000000005</v>
      </c>
      <c r="D118" s="2" t="s">
        <v>2</v>
      </c>
      <c r="E118">
        <v>91.78</v>
      </c>
      <c r="F118">
        <f t="shared" si="1"/>
        <v>0.61015471780344299</v>
      </c>
      <c r="G118" t="s">
        <v>473</v>
      </c>
      <c r="H118" t="s">
        <v>473</v>
      </c>
      <c r="I118" t="s">
        <v>473</v>
      </c>
      <c r="J118" t="s">
        <v>473</v>
      </c>
      <c r="K118" t="s">
        <v>473</v>
      </c>
      <c r="L118" t="s">
        <v>473</v>
      </c>
    </row>
    <row r="119" spans="1:12" x14ac:dyDescent="0.2">
      <c r="A119" t="s">
        <v>13</v>
      </c>
      <c r="B119" t="s">
        <v>195</v>
      </c>
      <c r="C119">
        <v>0.56999999999999995</v>
      </c>
      <c r="D119" s="2" t="s">
        <v>2</v>
      </c>
      <c r="E119">
        <v>88.99</v>
      </c>
      <c r="F119">
        <f t="shared" si="1"/>
        <v>0.64052140689965165</v>
      </c>
      <c r="G119" t="s">
        <v>473</v>
      </c>
      <c r="H119" t="s">
        <v>473</v>
      </c>
      <c r="I119" t="s">
        <v>473</v>
      </c>
      <c r="J119" t="s">
        <v>473</v>
      </c>
      <c r="K119" t="s">
        <v>473</v>
      </c>
      <c r="L119" t="s">
        <v>473</v>
      </c>
    </row>
    <row r="120" spans="1:12" x14ac:dyDescent="0.2">
      <c r="A120" t="s">
        <v>13</v>
      </c>
      <c r="B120" t="s">
        <v>196</v>
      </c>
      <c r="C120">
        <v>0.39</v>
      </c>
      <c r="D120" s="2" t="s">
        <v>3</v>
      </c>
      <c r="E120">
        <v>67.989999999999995</v>
      </c>
      <c r="F120">
        <f t="shared" si="1"/>
        <v>0.57361376673040154</v>
      </c>
      <c r="G120" t="s">
        <v>473</v>
      </c>
      <c r="H120" t="s">
        <v>473</v>
      </c>
      <c r="I120" t="s">
        <v>473</v>
      </c>
      <c r="J120" t="s">
        <v>473</v>
      </c>
      <c r="K120" t="s">
        <v>473</v>
      </c>
      <c r="L120" t="s">
        <v>473</v>
      </c>
    </row>
    <row r="121" spans="1:12" x14ac:dyDescent="0.2">
      <c r="A121" t="s">
        <v>13</v>
      </c>
      <c r="B121" t="s">
        <v>197</v>
      </c>
      <c r="C121">
        <v>0.52</v>
      </c>
      <c r="D121" s="2" t="s">
        <v>6</v>
      </c>
      <c r="E121">
        <v>85.82</v>
      </c>
      <c r="F121">
        <f t="shared" si="1"/>
        <v>0.60591936611512476</v>
      </c>
      <c r="G121" t="s">
        <v>473</v>
      </c>
      <c r="H121" t="s">
        <v>473</v>
      </c>
      <c r="I121" t="s">
        <v>473</v>
      </c>
      <c r="J121" t="s">
        <v>473</v>
      </c>
      <c r="K121" t="s">
        <v>473</v>
      </c>
      <c r="L121" t="s">
        <v>473</v>
      </c>
    </row>
    <row r="122" spans="1:12" x14ac:dyDescent="0.2">
      <c r="A122" t="s">
        <v>13</v>
      </c>
      <c r="B122" t="s">
        <v>198</v>
      </c>
      <c r="C122">
        <v>0.56999999999999995</v>
      </c>
      <c r="D122" s="2" t="s">
        <v>2</v>
      </c>
      <c r="E122">
        <v>93.77</v>
      </c>
      <c r="F122">
        <f t="shared" si="1"/>
        <v>0.60787032099818705</v>
      </c>
      <c r="G122" t="s">
        <v>473</v>
      </c>
      <c r="H122" t="s">
        <v>473</v>
      </c>
      <c r="I122" t="s">
        <v>473</v>
      </c>
      <c r="J122" t="s">
        <v>473</v>
      </c>
      <c r="K122" t="s">
        <v>473</v>
      </c>
      <c r="L122" t="s">
        <v>473</v>
      </c>
    </row>
    <row r="123" spans="1:12" x14ac:dyDescent="0.2">
      <c r="A123" t="s">
        <v>13</v>
      </c>
      <c r="B123" t="s">
        <v>199</v>
      </c>
      <c r="C123">
        <v>0.76</v>
      </c>
      <c r="D123" s="2" t="s">
        <v>2</v>
      </c>
      <c r="E123">
        <v>84.6</v>
      </c>
      <c r="F123">
        <f t="shared" si="1"/>
        <v>0.89834515366430268</v>
      </c>
      <c r="G123" t="s">
        <v>473</v>
      </c>
      <c r="H123" t="s">
        <v>473</v>
      </c>
      <c r="I123" t="s">
        <v>473</v>
      </c>
      <c r="J123" t="s">
        <v>473</v>
      </c>
      <c r="K123" t="s">
        <v>473</v>
      </c>
      <c r="L123" t="s">
        <v>473</v>
      </c>
    </row>
    <row r="124" spans="1:12" x14ac:dyDescent="0.2">
      <c r="A124" t="s">
        <v>13</v>
      </c>
      <c r="B124" t="s">
        <v>200</v>
      </c>
      <c r="C124">
        <v>0.12</v>
      </c>
      <c r="D124" s="2" t="s">
        <v>3</v>
      </c>
      <c r="E124">
        <v>81.37</v>
      </c>
      <c r="F124">
        <f t="shared" si="1"/>
        <v>0.14747449920117978</v>
      </c>
      <c r="G124" t="s">
        <v>473</v>
      </c>
      <c r="H124" t="s">
        <v>473</v>
      </c>
      <c r="I124" t="s">
        <v>473</v>
      </c>
      <c r="J124" t="s">
        <v>473</v>
      </c>
      <c r="K124" t="s">
        <v>473</v>
      </c>
      <c r="L124" t="s">
        <v>473</v>
      </c>
    </row>
    <row r="125" spans="1:12" x14ac:dyDescent="0.2">
      <c r="A125" t="s">
        <v>13</v>
      </c>
      <c r="B125" t="s">
        <v>201</v>
      </c>
      <c r="C125">
        <v>0.39</v>
      </c>
      <c r="D125" s="2" t="s">
        <v>2</v>
      </c>
      <c r="E125">
        <v>96.91</v>
      </c>
      <c r="F125">
        <f t="shared" si="1"/>
        <v>0.40243524920028895</v>
      </c>
      <c r="G125" t="s">
        <v>473</v>
      </c>
      <c r="H125" t="s">
        <v>473</v>
      </c>
      <c r="I125" t="s">
        <v>473</v>
      </c>
      <c r="J125" t="s">
        <v>473</v>
      </c>
      <c r="K125" t="s">
        <v>473</v>
      </c>
      <c r="L125" t="s">
        <v>473</v>
      </c>
    </row>
    <row r="126" spans="1:12" x14ac:dyDescent="0.2">
      <c r="A126" t="s">
        <v>13</v>
      </c>
      <c r="B126" t="s">
        <v>202</v>
      </c>
      <c r="C126">
        <v>0.1</v>
      </c>
      <c r="D126" s="2" t="s">
        <v>3</v>
      </c>
      <c r="E126">
        <v>81.36</v>
      </c>
      <c r="F126">
        <f t="shared" si="1"/>
        <v>0.12291052114060964</v>
      </c>
      <c r="G126" t="s">
        <v>473</v>
      </c>
      <c r="H126" t="s">
        <v>473</v>
      </c>
      <c r="I126" t="s">
        <v>473</v>
      </c>
      <c r="J126" t="s">
        <v>473</v>
      </c>
      <c r="K126" t="s">
        <v>473</v>
      </c>
      <c r="L126" t="s">
        <v>473</v>
      </c>
    </row>
    <row r="127" spans="1:12" x14ac:dyDescent="0.2">
      <c r="A127" t="s">
        <v>13</v>
      </c>
      <c r="B127" t="s">
        <v>203</v>
      </c>
      <c r="C127">
        <v>0.23</v>
      </c>
      <c r="D127" s="2" t="s">
        <v>3</v>
      </c>
      <c r="E127">
        <v>78.680000000000007</v>
      </c>
      <c r="F127">
        <f t="shared" si="1"/>
        <v>0.29232333502796137</v>
      </c>
      <c r="G127" t="s">
        <v>473</v>
      </c>
      <c r="H127" t="s">
        <v>473</v>
      </c>
      <c r="I127" t="s">
        <v>473</v>
      </c>
      <c r="J127" t="s">
        <v>473</v>
      </c>
      <c r="K127" t="s">
        <v>473</v>
      </c>
      <c r="L127" t="s">
        <v>473</v>
      </c>
    </row>
    <row r="128" spans="1:12" x14ac:dyDescent="0.2">
      <c r="A128" t="s">
        <v>13</v>
      </c>
      <c r="B128" t="s">
        <v>204</v>
      </c>
      <c r="C128">
        <v>2.16</v>
      </c>
      <c r="D128" s="2" t="s">
        <v>2</v>
      </c>
      <c r="E128">
        <v>91.21</v>
      </c>
      <c r="F128">
        <f t="shared" si="1"/>
        <v>2.3681613858129595</v>
      </c>
      <c r="G128" t="s">
        <v>473</v>
      </c>
      <c r="H128" t="s">
        <v>473</v>
      </c>
      <c r="I128" t="s">
        <v>473</v>
      </c>
      <c r="J128" t="s">
        <v>473</v>
      </c>
      <c r="K128" t="s">
        <v>473</v>
      </c>
      <c r="L128" t="s">
        <v>473</v>
      </c>
    </row>
    <row r="129" spans="1:12" x14ac:dyDescent="0.2">
      <c r="A129" t="s">
        <v>13</v>
      </c>
      <c r="B129" t="s">
        <v>205</v>
      </c>
      <c r="C129">
        <v>0.61</v>
      </c>
      <c r="D129" s="2" t="s">
        <v>2</v>
      </c>
      <c r="E129">
        <v>91</v>
      </c>
      <c r="F129">
        <f t="shared" si="1"/>
        <v>0.67032967032967028</v>
      </c>
      <c r="G129" t="s">
        <v>473</v>
      </c>
      <c r="H129" t="s">
        <v>473</v>
      </c>
      <c r="I129" t="s">
        <v>473</v>
      </c>
      <c r="J129" t="s">
        <v>473</v>
      </c>
      <c r="K129" t="s">
        <v>473</v>
      </c>
      <c r="L129" t="s">
        <v>473</v>
      </c>
    </row>
    <row r="130" spans="1:12" x14ac:dyDescent="0.2">
      <c r="A130" t="s">
        <v>13</v>
      </c>
      <c r="B130" t="s">
        <v>206</v>
      </c>
      <c r="C130">
        <v>4.21</v>
      </c>
      <c r="D130" s="2" t="s">
        <v>2</v>
      </c>
      <c r="E130">
        <v>94.32</v>
      </c>
      <c r="F130">
        <f t="shared" ref="F130:F193" si="2">C130/(E130/100)</f>
        <v>4.4635284139100939</v>
      </c>
      <c r="G130" t="s">
        <v>473</v>
      </c>
      <c r="H130" t="s">
        <v>473</v>
      </c>
      <c r="I130" t="s">
        <v>473</v>
      </c>
      <c r="J130" t="s">
        <v>473</v>
      </c>
      <c r="K130" t="s">
        <v>473</v>
      </c>
      <c r="L130" t="s">
        <v>473</v>
      </c>
    </row>
    <row r="131" spans="1:12" x14ac:dyDescent="0.2">
      <c r="A131" t="s">
        <v>13</v>
      </c>
      <c r="B131" t="s">
        <v>207</v>
      </c>
      <c r="C131">
        <v>0.56000000000000005</v>
      </c>
      <c r="D131" s="2" t="s">
        <v>2</v>
      </c>
      <c r="E131">
        <v>90.17</v>
      </c>
      <c r="F131">
        <f t="shared" si="2"/>
        <v>0.62104912942220247</v>
      </c>
      <c r="G131" t="s">
        <v>473</v>
      </c>
      <c r="H131" t="s">
        <v>473</v>
      </c>
      <c r="I131" t="s">
        <v>473</v>
      </c>
      <c r="J131" t="s">
        <v>473</v>
      </c>
      <c r="K131" t="s">
        <v>473</v>
      </c>
      <c r="L131" t="s">
        <v>473</v>
      </c>
    </row>
    <row r="132" spans="1:12" x14ac:dyDescent="0.2">
      <c r="A132" t="s">
        <v>13</v>
      </c>
      <c r="B132" t="s">
        <v>208</v>
      </c>
      <c r="C132">
        <v>0.33</v>
      </c>
      <c r="D132" s="2" t="s">
        <v>3</v>
      </c>
      <c r="E132">
        <v>69.09</v>
      </c>
      <c r="F132">
        <f t="shared" si="2"/>
        <v>0.47763786365610073</v>
      </c>
      <c r="G132" t="s">
        <v>473</v>
      </c>
      <c r="H132" t="s">
        <v>473</v>
      </c>
      <c r="I132" t="s">
        <v>473</v>
      </c>
      <c r="J132" t="s">
        <v>473</v>
      </c>
      <c r="K132" t="s">
        <v>473</v>
      </c>
      <c r="L132" t="s">
        <v>473</v>
      </c>
    </row>
    <row r="133" spans="1:12" x14ac:dyDescent="0.2">
      <c r="A133" t="s">
        <v>13</v>
      </c>
      <c r="B133" t="s">
        <v>209</v>
      </c>
      <c r="C133">
        <v>0.3</v>
      </c>
      <c r="D133" s="2" t="s">
        <v>2</v>
      </c>
      <c r="E133">
        <v>87.68</v>
      </c>
      <c r="F133">
        <f t="shared" si="2"/>
        <v>0.34215328467153283</v>
      </c>
      <c r="G133" t="s">
        <v>473</v>
      </c>
      <c r="H133" t="s">
        <v>473</v>
      </c>
      <c r="I133" t="s">
        <v>473</v>
      </c>
      <c r="J133" t="s">
        <v>473</v>
      </c>
      <c r="K133" t="s">
        <v>473</v>
      </c>
      <c r="L133" t="s">
        <v>473</v>
      </c>
    </row>
    <row r="134" spans="1:12" x14ac:dyDescent="0.2">
      <c r="A134" t="s">
        <v>13</v>
      </c>
      <c r="B134" t="s">
        <v>210</v>
      </c>
      <c r="C134">
        <v>0.19</v>
      </c>
      <c r="D134" s="2" t="s">
        <v>2</v>
      </c>
      <c r="E134">
        <v>69.5</v>
      </c>
      <c r="F134">
        <f t="shared" si="2"/>
        <v>0.2733812949640288</v>
      </c>
      <c r="G134" t="s">
        <v>473</v>
      </c>
      <c r="H134" t="s">
        <v>473</v>
      </c>
      <c r="I134" t="s">
        <v>473</v>
      </c>
      <c r="J134" t="s">
        <v>473</v>
      </c>
      <c r="K134" t="s">
        <v>473</v>
      </c>
      <c r="L134" t="s">
        <v>473</v>
      </c>
    </row>
    <row r="135" spans="1:12" x14ac:dyDescent="0.2">
      <c r="A135" t="s">
        <v>13</v>
      </c>
      <c r="B135" t="s">
        <v>211</v>
      </c>
      <c r="C135">
        <v>0.76</v>
      </c>
      <c r="D135" s="2" t="s">
        <v>6</v>
      </c>
      <c r="E135">
        <v>93.73</v>
      </c>
      <c r="F135">
        <f t="shared" si="2"/>
        <v>0.81083964579110213</v>
      </c>
      <c r="G135" t="s">
        <v>473</v>
      </c>
      <c r="H135" t="s">
        <v>473</v>
      </c>
      <c r="I135" t="s">
        <v>473</v>
      </c>
      <c r="J135" t="s">
        <v>473</v>
      </c>
      <c r="K135" t="s">
        <v>473</v>
      </c>
      <c r="L135" t="s">
        <v>473</v>
      </c>
    </row>
    <row r="136" spans="1:12" x14ac:dyDescent="0.2">
      <c r="A136" t="s">
        <v>13</v>
      </c>
      <c r="B136" t="s">
        <v>212</v>
      </c>
      <c r="C136">
        <v>0.33</v>
      </c>
      <c r="D136" s="2" t="s">
        <v>3</v>
      </c>
      <c r="E136">
        <v>98.73</v>
      </c>
      <c r="F136">
        <f t="shared" si="2"/>
        <v>0.33424491036159221</v>
      </c>
      <c r="G136" t="s">
        <v>473</v>
      </c>
      <c r="H136" t="s">
        <v>473</v>
      </c>
      <c r="I136" t="s">
        <v>473</v>
      </c>
      <c r="J136" t="s">
        <v>473</v>
      </c>
      <c r="K136" t="s">
        <v>473</v>
      </c>
      <c r="L136" t="s">
        <v>473</v>
      </c>
    </row>
    <row r="137" spans="1:12" x14ac:dyDescent="0.2">
      <c r="A137" t="s">
        <v>13</v>
      </c>
      <c r="B137" t="s">
        <v>213</v>
      </c>
      <c r="C137">
        <v>0.28999999999999998</v>
      </c>
      <c r="D137" s="2" t="s">
        <v>3</v>
      </c>
      <c r="E137">
        <v>80.77</v>
      </c>
      <c r="F137">
        <f t="shared" si="2"/>
        <v>0.35904419957905159</v>
      </c>
      <c r="G137" t="s">
        <v>473</v>
      </c>
      <c r="H137" t="s">
        <v>473</v>
      </c>
      <c r="I137" t="s">
        <v>473</v>
      </c>
      <c r="J137" t="s">
        <v>473</v>
      </c>
      <c r="K137" t="s">
        <v>473</v>
      </c>
      <c r="L137" t="s">
        <v>473</v>
      </c>
    </row>
    <row r="138" spans="1:12" x14ac:dyDescent="0.2">
      <c r="A138" t="s">
        <v>13</v>
      </c>
      <c r="B138" t="s">
        <v>214</v>
      </c>
      <c r="C138">
        <v>4.01</v>
      </c>
      <c r="D138" s="2" t="s">
        <v>2</v>
      </c>
      <c r="E138">
        <v>92.33</v>
      </c>
      <c r="F138">
        <f t="shared" si="2"/>
        <v>4.34311708003899</v>
      </c>
      <c r="G138" t="s">
        <v>473</v>
      </c>
      <c r="H138" t="s">
        <v>473</v>
      </c>
      <c r="I138" t="s">
        <v>473</v>
      </c>
      <c r="J138" t="s">
        <v>473</v>
      </c>
      <c r="K138" t="s">
        <v>473</v>
      </c>
      <c r="L138" t="s">
        <v>473</v>
      </c>
    </row>
    <row r="139" spans="1:12" x14ac:dyDescent="0.2">
      <c r="A139" t="s">
        <v>13</v>
      </c>
      <c r="B139" t="s">
        <v>215</v>
      </c>
      <c r="C139">
        <v>0.55000000000000004</v>
      </c>
      <c r="D139" s="2" t="s">
        <v>2</v>
      </c>
      <c r="E139">
        <v>83.59</v>
      </c>
      <c r="F139">
        <f t="shared" si="2"/>
        <v>0.65797344179925832</v>
      </c>
      <c r="G139" t="s">
        <v>473</v>
      </c>
      <c r="H139" t="s">
        <v>473</v>
      </c>
      <c r="I139" t="s">
        <v>473</v>
      </c>
      <c r="J139" t="s">
        <v>473</v>
      </c>
      <c r="K139" t="s">
        <v>473</v>
      </c>
      <c r="L139" t="s">
        <v>473</v>
      </c>
    </row>
    <row r="140" spans="1:12" x14ac:dyDescent="0.2">
      <c r="A140" t="s">
        <v>13</v>
      </c>
      <c r="B140" t="s">
        <v>216</v>
      </c>
      <c r="C140">
        <v>0.69</v>
      </c>
      <c r="D140" s="2" t="s">
        <v>2</v>
      </c>
      <c r="E140">
        <v>83.46</v>
      </c>
      <c r="F140">
        <f t="shared" si="2"/>
        <v>0.82674335010783617</v>
      </c>
      <c r="G140" t="s">
        <v>473</v>
      </c>
      <c r="H140" t="s">
        <v>473</v>
      </c>
      <c r="I140" t="s">
        <v>473</v>
      </c>
      <c r="J140" t="s">
        <v>473</v>
      </c>
      <c r="K140" t="s">
        <v>473</v>
      </c>
      <c r="L140" t="s">
        <v>473</v>
      </c>
    </row>
    <row r="141" spans="1:12" x14ac:dyDescent="0.2">
      <c r="A141" t="s">
        <v>13</v>
      </c>
      <c r="B141" t="s">
        <v>217</v>
      </c>
      <c r="C141">
        <v>0.6</v>
      </c>
      <c r="D141" s="2" t="s">
        <v>2</v>
      </c>
      <c r="E141">
        <v>55.47</v>
      </c>
      <c r="F141">
        <f t="shared" si="2"/>
        <v>1.0816657652785289</v>
      </c>
      <c r="G141" t="s">
        <v>473</v>
      </c>
      <c r="H141" t="s">
        <v>473</v>
      </c>
      <c r="I141" t="s">
        <v>473</v>
      </c>
      <c r="J141" t="s">
        <v>473</v>
      </c>
      <c r="K141" t="s">
        <v>473</v>
      </c>
      <c r="L141" t="s">
        <v>473</v>
      </c>
    </row>
    <row r="142" spans="1:12" x14ac:dyDescent="0.2">
      <c r="A142" t="s">
        <v>13</v>
      </c>
      <c r="B142" t="s">
        <v>218</v>
      </c>
      <c r="C142">
        <v>1.26</v>
      </c>
      <c r="D142" s="2" t="s">
        <v>5</v>
      </c>
      <c r="E142">
        <v>60.81</v>
      </c>
      <c r="F142">
        <f t="shared" si="2"/>
        <v>2.0720276270350273</v>
      </c>
      <c r="G142" t="s">
        <v>473</v>
      </c>
      <c r="H142" t="s">
        <v>473</v>
      </c>
      <c r="I142" t="s">
        <v>473</v>
      </c>
      <c r="J142" t="s">
        <v>473</v>
      </c>
      <c r="K142" t="s">
        <v>473</v>
      </c>
      <c r="L142" t="s">
        <v>473</v>
      </c>
    </row>
    <row r="143" spans="1:12" x14ac:dyDescent="0.2">
      <c r="A143" t="s">
        <v>13</v>
      </c>
      <c r="B143" t="s">
        <v>219</v>
      </c>
      <c r="C143">
        <v>1.82</v>
      </c>
      <c r="D143" s="2" t="s">
        <v>2</v>
      </c>
      <c r="E143">
        <v>90.53</v>
      </c>
      <c r="F143">
        <f t="shared" si="2"/>
        <v>2.010383298354137</v>
      </c>
      <c r="G143" t="s">
        <v>473</v>
      </c>
      <c r="H143" t="s">
        <v>473</v>
      </c>
      <c r="I143" t="s">
        <v>473</v>
      </c>
      <c r="J143" t="s">
        <v>473</v>
      </c>
      <c r="K143" t="s">
        <v>473</v>
      </c>
      <c r="L143" t="s">
        <v>473</v>
      </c>
    </row>
    <row r="144" spans="1:12" x14ac:dyDescent="0.2">
      <c r="A144" t="s">
        <v>13</v>
      </c>
      <c r="B144" t="s">
        <v>220</v>
      </c>
      <c r="C144">
        <v>0.27</v>
      </c>
      <c r="D144" s="2" t="s">
        <v>3</v>
      </c>
      <c r="E144">
        <v>77.47</v>
      </c>
      <c r="F144">
        <f t="shared" si="2"/>
        <v>0.34852200851942694</v>
      </c>
      <c r="G144" t="s">
        <v>473</v>
      </c>
      <c r="H144" t="s">
        <v>473</v>
      </c>
      <c r="I144" t="s">
        <v>473</v>
      </c>
      <c r="J144" t="s">
        <v>473</v>
      </c>
      <c r="K144" t="s">
        <v>473</v>
      </c>
      <c r="L144" t="s">
        <v>473</v>
      </c>
    </row>
    <row r="145" spans="1:12" x14ac:dyDescent="0.2">
      <c r="A145" t="s">
        <v>13</v>
      </c>
      <c r="B145" t="s">
        <v>221</v>
      </c>
      <c r="C145">
        <v>0.3</v>
      </c>
      <c r="D145" s="2" t="s">
        <v>3</v>
      </c>
      <c r="E145">
        <v>80.010000000000005</v>
      </c>
      <c r="F145">
        <f t="shared" si="2"/>
        <v>0.37495313085864262</v>
      </c>
      <c r="G145" t="s">
        <v>473</v>
      </c>
      <c r="H145" t="s">
        <v>473</v>
      </c>
      <c r="I145" t="s">
        <v>473</v>
      </c>
      <c r="J145" t="s">
        <v>473</v>
      </c>
      <c r="K145" t="s">
        <v>473</v>
      </c>
      <c r="L145" t="s">
        <v>473</v>
      </c>
    </row>
    <row r="146" spans="1:12" x14ac:dyDescent="0.2">
      <c r="A146" t="s">
        <v>13</v>
      </c>
      <c r="B146" t="s">
        <v>222</v>
      </c>
      <c r="C146">
        <v>0.13</v>
      </c>
      <c r="D146" s="2" t="s">
        <v>3</v>
      </c>
      <c r="E146">
        <v>75.19</v>
      </c>
      <c r="F146">
        <f t="shared" si="2"/>
        <v>0.17289533182604069</v>
      </c>
      <c r="G146" t="s">
        <v>473</v>
      </c>
      <c r="H146" t="s">
        <v>473</v>
      </c>
      <c r="I146" t="s">
        <v>473</v>
      </c>
      <c r="J146" t="s">
        <v>473</v>
      </c>
      <c r="K146" t="s">
        <v>473</v>
      </c>
      <c r="L146" t="s">
        <v>473</v>
      </c>
    </row>
    <row r="147" spans="1:12" x14ac:dyDescent="0.2">
      <c r="A147" t="s">
        <v>13</v>
      </c>
      <c r="B147" t="s">
        <v>223</v>
      </c>
      <c r="C147">
        <v>0.68</v>
      </c>
      <c r="D147" s="2" t="s">
        <v>7</v>
      </c>
      <c r="E147">
        <v>56.88</v>
      </c>
      <c r="F147">
        <f t="shared" si="2"/>
        <v>1.1954992967651197</v>
      </c>
      <c r="G147" t="s">
        <v>473</v>
      </c>
      <c r="H147" t="s">
        <v>473</v>
      </c>
      <c r="I147" t="s">
        <v>473</v>
      </c>
      <c r="J147" t="s">
        <v>473</v>
      </c>
      <c r="K147" t="s">
        <v>473</v>
      </c>
      <c r="L147" t="s">
        <v>473</v>
      </c>
    </row>
    <row r="148" spans="1:12" x14ac:dyDescent="0.2">
      <c r="A148" t="s">
        <v>13</v>
      </c>
      <c r="B148" t="s">
        <v>224</v>
      </c>
      <c r="C148">
        <v>0.42</v>
      </c>
      <c r="D148" s="2" t="s">
        <v>2</v>
      </c>
      <c r="E148">
        <v>86.96</v>
      </c>
      <c r="F148">
        <f t="shared" si="2"/>
        <v>0.48298068077276912</v>
      </c>
      <c r="G148" t="s">
        <v>473</v>
      </c>
      <c r="H148" t="s">
        <v>473</v>
      </c>
      <c r="I148" t="s">
        <v>473</v>
      </c>
      <c r="J148" t="s">
        <v>473</v>
      </c>
      <c r="K148" t="s">
        <v>473</v>
      </c>
      <c r="L148" t="s">
        <v>473</v>
      </c>
    </row>
    <row r="149" spans="1:12" x14ac:dyDescent="0.2">
      <c r="A149" t="s">
        <v>13</v>
      </c>
      <c r="B149" t="s">
        <v>225</v>
      </c>
      <c r="C149">
        <v>0.21</v>
      </c>
      <c r="D149" s="2" t="s">
        <v>2</v>
      </c>
      <c r="E149">
        <v>63.7</v>
      </c>
      <c r="F149">
        <f t="shared" si="2"/>
        <v>0.32967032967032966</v>
      </c>
      <c r="G149" t="s">
        <v>473</v>
      </c>
      <c r="H149" t="s">
        <v>473</v>
      </c>
      <c r="I149" t="s">
        <v>473</v>
      </c>
      <c r="J149" t="s">
        <v>473</v>
      </c>
      <c r="K149" t="s">
        <v>473</v>
      </c>
      <c r="L149" t="s">
        <v>473</v>
      </c>
    </row>
    <row r="150" spans="1:12" x14ac:dyDescent="0.2">
      <c r="A150" t="s">
        <v>13</v>
      </c>
      <c r="B150" t="s">
        <v>226</v>
      </c>
      <c r="C150">
        <v>0.64</v>
      </c>
      <c r="D150" s="2" t="s">
        <v>2</v>
      </c>
      <c r="E150">
        <v>91.68</v>
      </c>
      <c r="F150">
        <f t="shared" si="2"/>
        <v>0.69808027923211169</v>
      </c>
      <c r="G150" t="s">
        <v>473</v>
      </c>
      <c r="H150" t="s">
        <v>473</v>
      </c>
      <c r="I150" t="s">
        <v>473</v>
      </c>
      <c r="J150" t="s">
        <v>473</v>
      </c>
      <c r="K150" t="s">
        <v>473</v>
      </c>
      <c r="L150" t="s">
        <v>473</v>
      </c>
    </row>
    <row r="151" spans="1:12" x14ac:dyDescent="0.2">
      <c r="A151" t="s">
        <v>13</v>
      </c>
      <c r="B151" t="s">
        <v>227</v>
      </c>
      <c r="C151">
        <v>0.09</v>
      </c>
      <c r="D151" s="2" t="s">
        <v>3</v>
      </c>
      <c r="E151">
        <v>73.709999999999994</v>
      </c>
      <c r="F151">
        <f t="shared" si="2"/>
        <v>0.1221001221001221</v>
      </c>
      <c r="G151" t="s">
        <v>473</v>
      </c>
      <c r="H151" t="s">
        <v>473</v>
      </c>
      <c r="I151" t="s">
        <v>473</v>
      </c>
      <c r="J151" t="s">
        <v>473</v>
      </c>
      <c r="K151" t="s">
        <v>473</v>
      </c>
      <c r="L151" t="s">
        <v>473</v>
      </c>
    </row>
    <row r="152" spans="1:12" x14ac:dyDescent="0.2">
      <c r="A152" t="s">
        <v>13</v>
      </c>
      <c r="B152" t="s">
        <v>228</v>
      </c>
      <c r="C152">
        <v>1.26</v>
      </c>
      <c r="D152" s="2" t="s">
        <v>2</v>
      </c>
      <c r="E152">
        <v>91.87</v>
      </c>
      <c r="F152">
        <f t="shared" si="2"/>
        <v>1.3715032110591052</v>
      </c>
      <c r="G152" t="s">
        <v>473</v>
      </c>
      <c r="H152" t="s">
        <v>473</v>
      </c>
      <c r="I152" t="s">
        <v>473</v>
      </c>
      <c r="J152" t="s">
        <v>473</v>
      </c>
      <c r="K152" t="s">
        <v>473</v>
      </c>
      <c r="L152" t="s">
        <v>473</v>
      </c>
    </row>
    <row r="153" spans="1:12" x14ac:dyDescent="0.2">
      <c r="A153" t="s">
        <v>13</v>
      </c>
      <c r="B153" t="s">
        <v>229</v>
      </c>
      <c r="C153">
        <v>0.65</v>
      </c>
      <c r="D153" s="2" t="s">
        <v>2</v>
      </c>
      <c r="E153">
        <v>88.04</v>
      </c>
      <c r="F153">
        <f t="shared" si="2"/>
        <v>0.73830077237619263</v>
      </c>
      <c r="G153" t="s">
        <v>473</v>
      </c>
      <c r="H153" t="s">
        <v>473</v>
      </c>
      <c r="I153" t="s">
        <v>473</v>
      </c>
      <c r="J153" t="s">
        <v>473</v>
      </c>
      <c r="K153" t="s">
        <v>473</v>
      </c>
      <c r="L153" t="s">
        <v>473</v>
      </c>
    </row>
    <row r="154" spans="1:12" x14ac:dyDescent="0.2">
      <c r="A154" t="s">
        <v>13</v>
      </c>
      <c r="B154" t="s">
        <v>230</v>
      </c>
      <c r="C154">
        <v>0.33</v>
      </c>
      <c r="D154" s="2" t="s">
        <v>3</v>
      </c>
      <c r="E154">
        <v>66.239999999999995</v>
      </c>
      <c r="F154">
        <f t="shared" si="2"/>
        <v>0.4981884057971015</v>
      </c>
      <c r="G154" t="s">
        <v>473</v>
      </c>
      <c r="H154" t="s">
        <v>473</v>
      </c>
      <c r="I154" t="s">
        <v>473</v>
      </c>
      <c r="J154" t="s">
        <v>473</v>
      </c>
      <c r="K154" t="s">
        <v>473</v>
      </c>
      <c r="L154" t="s">
        <v>473</v>
      </c>
    </row>
    <row r="155" spans="1:12" x14ac:dyDescent="0.2">
      <c r="A155" t="s">
        <v>13</v>
      </c>
      <c r="B155" t="s">
        <v>231</v>
      </c>
      <c r="C155">
        <v>0.41</v>
      </c>
      <c r="D155" s="2" t="s">
        <v>5</v>
      </c>
      <c r="E155">
        <v>65.260000000000005</v>
      </c>
      <c r="F155">
        <f t="shared" si="2"/>
        <v>0.62825620594544884</v>
      </c>
      <c r="G155" t="s">
        <v>473</v>
      </c>
      <c r="H155" t="s">
        <v>473</v>
      </c>
      <c r="I155" t="s">
        <v>473</v>
      </c>
      <c r="J155" t="s">
        <v>473</v>
      </c>
      <c r="K155" t="s">
        <v>473</v>
      </c>
      <c r="L155" t="s">
        <v>473</v>
      </c>
    </row>
    <row r="156" spans="1:12" x14ac:dyDescent="0.2">
      <c r="A156" t="s">
        <v>13</v>
      </c>
      <c r="B156" t="s">
        <v>232</v>
      </c>
      <c r="C156">
        <v>1.72</v>
      </c>
      <c r="D156" s="2" t="s">
        <v>2</v>
      </c>
      <c r="E156">
        <v>94.56</v>
      </c>
      <c r="F156">
        <f t="shared" si="2"/>
        <v>1.8189509306260576</v>
      </c>
      <c r="G156" t="s">
        <v>473</v>
      </c>
      <c r="H156" t="s">
        <v>473</v>
      </c>
      <c r="I156" t="s">
        <v>473</v>
      </c>
      <c r="J156" t="s">
        <v>473</v>
      </c>
      <c r="K156" t="s">
        <v>473</v>
      </c>
      <c r="L156" t="s">
        <v>473</v>
      </c>
    </row>
    <row r="157" spans="1:12" x14ac:dyDescent="0.2">
      <c r="A157" t="s">
        <v>13</v>
      </c>
      <c r="B157" t="s">
        <v>233</v>
      </c>
      <c r="C157">
        <v>0.95</v>
      </c>
      <c r="D157" s="2" t="s">
        <v>2</v>
      </c>
      <c r="E157">
        <v>26</v>
      </c>
      <c r="F157">
        <f t="shared" si="2"/>
        <v>3.6538461538461537</v>
      </c>
      <c r="G157" t="s">
        <v>473</v>
      </c>
      <c r="H157" t="s">
        <v>473</v>
      </c>
      <c r="I157" t="s">
        <v>473</v>
      </c>
      <c r="J157" t="s">
        <v>473</v>
      </c>
      <c r="K157" t="s">
        <v>473</v>
      </c>
      <c r="L157" t="s">
        <v>473</v>
      </c>
    </row>
    <row r="158" spans="1:12" x14ac:dyDescent="0.2">
      <c r="A158" t="s">
        <v>13</v>
      </c>
      <c r="B158" t="s">
        <v>234</v>
      </c>
      <c r="C158">
        <v>0.34</v>
      </c>
      <c r="D158" s="2" t="s">
        <v>5</v>
      </c>
      <c r="E158">
        <v>78.33</v>
      </c>
      <c r="F158">
        <f t="shared" si="2"/>
        <v>0.43406102387335632</v>
      </c>
      <c r="G158" t="s">
        <v>473</v>
      </c>
      <c r="H158" t="s">
        <v>473</v>
      </c>
      <c r="I158" t="s">
        <v>473</v>
      </c>
      <c r="J158" t="s">
        <v>473</v>
      </c>
      <c r="K158" t="s">
        <v>473</v>
      </c>
      <c r="L158" t="s">
        <v>473</v>
      </c>
    </row>
    <row r="159" spans="1:12" x14ac:dyDescent="0.2">
      <c r="A159" t="s">
        <v>13</v>
      </c>
      <c r="B159" t="s">
        <v>235</v>
      </c>
      <c r="C159">
        <v>0.21</v>
      </c>
      <c r="D159" s="2" t="s">
        <v>3</v>
      </c>
      <c r="E159">
        <v>78.08</v>
      </c>
      <c r="F159">
        <f t="shared" si="2"/>
        <v>0.26895491803278687</v>
      </c>
      <c r="G159" t="s">
        <v>473</v>
      </c>
      <c r="H159" t="s">
        <v>473</v>
      </c>
      <c r="I159" t="s">
        <v>473</v>
      </c>
      <c r="J159" t="s">
        <v>473</v>
      </c>
      <c r="K159" t="s">
        <v>473</v>
      </c>
      <c r="L159" t="s">
        <v>473</v>
      </c>
    </row>
    <row r="160" spans="1:12" x14ac:dyDescent="0.2">
      <c r="A160" t="s">
        <v>13</v>
      </c>
      <c r="B160" t="s">
        <v>236</v>
      </c>
      <c r="C160">
        <v>0.1</v>
      </c>
      <c r="D160" s="2" t="s">
        <v>3</v>
      </c>
      <c r="E160">
        <v>92.21</v>
      </c>
      <c r="F160">
        <f t="shared" si="2"/>
        <v>0.10844810758052273</v>
      </c>
      <c r="G160" t="s">
        <v>473</v>
      </c>
      <c r="H160" t="s">
        <v>473</v>
      </c>
      <c r="I160" t="s">
        <v>473</v>
      </c>
      <c r="J160" t="s">
        <v>473</v>
      </c>
      <c r="K160" t="s">
        <v>473</v>
      </c>
      <c r="L160" t="s">
        <v>473</v>
      </c>
    </row>
    <row r="161" spans="1:12" x14ac:dyDescent="0.2">
      <c r="A161" t="s">
        <v>13</v>
      </c>
      <c r="B161" t="s">
        <v>237</v>
      </c>
      <c r="C161">
        <v>0.45</v>
      </c>
      <c r="D161" s="2" t="s">
        <v>5</v>
      </c>
      <c r="E161">
        <v>61.92</v>
      </c>
      <c r="F161">
        <f t="shared" si="2"/>
        <v>0.7267441860465117</v>
      </c>
      <c r="G161" t="s">
        <v>473</v>
      </c>
      <c r="H161" t="s">
        <v>473</v>
      </c>
      <c r="I161" t="s">
        <v>473</v>
      </c>
      <c r="J161" t="s">
        <v>473</v>
      </c>
      <c r="K161" t="s">
        <v>473</v>
      </c>
      <c r="L161" t="s">
        <v>473</v>
      </c>
    </row>
    <row r="162" spans="1:12" x14ac:dyDescent="0.2">
      <c r="A162" t="s">
        <v>13</v>
      </c>
      <c r="B162" t="s">
        <v>238</v>
      </c>
      <c r="C162">
        <v>2.2400000000000002</v>
      </c>
      <c r="D162" s="2" t="s">
        <v>2</v>
      </c>
      <c r="E162">
        <v>94.03</v>
      </c>
      <c r="F162">
        <f t="shared" si="2"/>
        <v>2.38221844092311</v>
      </c>
      <c r="G162" t="s">
        <v>473</v>
      </c>
      <c r="H162" t="s">
        <v>473</v>
      </c>
      <c r="I162" t="s">
        <v>473</v>
      </c>
      <c r="J162" t="s">
        <v>473</v>
      </c>
      <c r="K162" t="s">
        <v>473</v>
      </c>
      <c r="L162" t="s">
        <v>473</v>
      </c>
    </row>
    <row r="163" spans="1:12" x14ac:dyDescent="0.2">
      <c r="A163" t="s">
        <v>13</v>
      </c>
      <c r="B163" t="s">
        <v>239</v>
      </c>
      <c r="C163">
        <v>0.69</v>
      </c>
      <c r="D163" s="2" t="s">
        <v>2</v>
      </c>
      <c r="E163">
        <v>76.55</v>
      </c>
      <c r="F163">
        <f t="shared" si="2"/>
        <v>0.90137165251469631</v>
      </c>
      <c r="G163" t="s">
        <v>473</v>
      </c>
      <c r="H163" t="s">
        <v>473</v>
      </c>
      <c r="I163" t="s">
        <v>473</v>
      </c>
      <c r="J163" t="s">
        <v>473</v>
      </c>
      <c r="K163" t="s">
        <v>473</v>
      </c>
      <c r="L163" t="s">
        <v>473</v>
      </c>
    </row>
    <row r="164" spans="1:12" x14ac:dyDescent="0.2">
      <c r="A164" t="s">
        <v>13</v>
      </c>
      <c r="B164" t="s">
        <v>240</v>
      </c>
      <c r="C164">
        <v>0.21</v>
      </c>
      <c r="D164" s="2" t="s">
        <v>3</v>
      </c>
      <c r="E164">
        <v>93.21</v>
      </c>
      <c r="F164">
        <f t="shared" si="2"/>
        <v>0.2252977148374638</v>
      </c>
      <c r="G164" t="s">
        <v>473</v>
      </c>
      <c r="H164" t="s">
        <v>473</v>
      </c>
      <c r="I164" t="s">
        <v>473</v>
      </c>
      <c r="J164" t="s">
        <v>473</v>
      </c>
      <c r="K164" t="s">
        <v>473</v>
      </c>
      <c r="L164" t="s">
        <v>473</v>
      </c>
    </row>
    <row r="165" spans="1:12" x14ac:dyDescent="0.2">
      <c r="A165" t="s">
        <v>13</v>
      </c>
      <c r="B165" t="s">
        <v>241</v>
      </c>
      <c r="C165">
        <v>0.1</v>
      </c>
      <c r="D165" s="2" t="s">
        <v>8</v>
      </c>
      <c r="E165">
        <v>93.36</v>
      </c>
      <c r="F165">
        <f t="shared" si="2"/>
        <v>0.10711225364181663</v>
      </c>
      <c r="G165" t="s">
        <v>473</v>
      </c>
      <c r="H165" t="s">
        <v>473</v>
      </c>
      <c r="I165" t="s">
        <v>473</v>
      </c>
      <c r="J165" t="s">
        <v>473</v>
      </c>
      <c r="K165" t="s">
        <v>473</v>
      </c>
      <c r="L165" t="s">
        <v>473</v>
      </c>
    </row>
    <row r="166" spans="1:12" x14ac:dyDescent="0.2">
      <c r="A166" t="s">
        <v>13</v>
      </c>
      <c r="B166" t="s">
        <v>242</v>
      </c>
      <c r="C166">
        <v>0.67</v>
      </c>
      <c r="D166" s="2" t="s">
        <v>3</v>
      </c>
      <c r="E166">
        <v>78.25</v>
      </c>
      <c r="F166">
        <f t="shared" si="2"/>
        <v>0.85623003194888192</v>
      </c>
      <c r="G166" t="s">
        <v>473</v>
      </c>
      <c r="H166" t="s">
        <v>473</v>
      </c>
      <c r="I166" t="s">
        <v>473</v>
      </c>
      <c r="J166" t="s">
        <v>473</v>
      </c>
      <c r="K166" t="s">
        <v>473</v>
      </c>
      <c r="L166" t="s">
        <v>473</v>
      </c>
    </row>
    <row r="167" spans="1:12" x14ac:dyDescent="0.2">
      <c r="A167" t="s">
        <v>13</v>
      </c>
      <c r="B167" t="s">
        <v>243</v>
      </c>
      <c r="C167">
        <v>0.56999999999999995</v>
      </c>
      <c r="D167" s="2" t="s">
        <v>2</v>
      </c>
      <c r="E167">
        <v>68.61</v>
      </c>
      <c r="F167">
        <f t="shared" si="2"/>
        <v>0.83078268473983374</v>
      </c>
      <c r="G167" t="s">
        <v>473</v>
      </c>
      <c r="H167" t="s">
        <v>473</v>
      </c>
      <c r="I167" t="s">
        <v>473</v>
      </c>
      <c r="J167" t="s">
        <v>473</v>
      </c>
      <c r="K167" t="s">
        <v>473</v>
      </c>
      <c r="L167" t="s">
        <v>473</v>
      </c>
    </row>
    <row r="168" spans="1:12" x14ac:dyDescent="0.2">
      <c r="A168" t="s">
        <v>13</v>
      </c>
      <c r="B168" t="s">
        <v>244</v>
      </c>
      <c r="C168">
        <v>0.26</v>
      </c>
      <c r="D168" s="2" t="s">
        <v>3</v>
      </c>
      <c r="E168">
        <v>94.56</v>
      </c>
      <c r="F168">
        <f t="shared" si="2"/>
        <v>0.27495769881556686</v>
      </c>
      <c r="G168" t="s">
        <v>473</v>
      </c>
      <c r="H168" t="s">
        <v>473</v>
      </c>
      <c r="I168" t="s">
        <v>473</v>
      </c>
      <c r="J168" t="s">
        <v>473</v>
      </c>
      <c r="K168" t="s">
        <v>473</v>
      </c>
      <c r="L168" t="s">
        <v>473</v>
      </c>
    </row>
    <row r="169" spans="1:12" x14ac:dyDescent="0.2">
      <c r="A169" t="s">
        <v>13</v>
      </c>
      <c r="B169" t="s">
        <v>245</v>
      </c>
      <c r="C169">
        <v>0.27</v>
      </c>
      <c r="D169" s="2" t="s">
        <v>3</v>
      </c>
      <c r="E169">
        <v>71.069999999999993</v>
      </c>
      <c r="F169">
        <f t="shared" si="2"/>
        <v>0.37990713381173502</v>
      </c>
      <c r="G169" t="s">
        <v>473</v>
      </c>
      <c r="H169" t="s">
        <v>473</v>
      </c>
      <c r="I169" t="s">
        <v>473</v>
      </c>
      <c r="J169" t="s">
        <v>473</v>
      </c>
      <c r="K169" t="s">
        <v>473</v>
      </c>
      <c r="L169" t="s">
        <v>473</v>
      </c>
    </row>
    <row r="170" spans="1:12" x14ac:dyDescent="0.2">
      <c r="A170" t="s">
        <v>13</v>
      </c>
      <c r="B170" t="s">
        <v>246</v>
      </c>
      <c r="C170">
        <v>0.57999999999999996</v>
      </c>
      <c r="D170" s="2" t="s">
        <v>5</v>
      </c>
      <c r="E170">
        <v>86.57</v>
      </c>
      <c r="F170">
        <f t="shared" si="2"/>
        <v>0.6699780524431096</v>
      </c>
      <c r="G170" t="s">
        <v>473</v>
      </c>
      <c r="H170" t="s">
        <v>473</v>
      </c>
      <c r="I170" t="s">
        <v>473</v>
      </c>
      <c r="J170" t="s">
        <v>473</v>
      </c>
      <c r="K170" t="s">
        <v>473</v>
      </c>
      <c r="L170" t="s">
        <v>473</v>
      </c>
    </row>
    <row r="171" spans="1:12" x14ac:dyDescent="0.2">
      <c r="A171" t="s">
        <v>13</v>
      </c>
      <c r="B171" t="s">
        <v>247</v>
      </c>
      <c r="C171">
        <v>0.09</v>
      </c>
      <c r="D171" s="2" t="s">
        <v>3</v>
      </c>
      <c r="E171">
        <v>90.53</v>
      </c>
      <c r="F171">
        <f t="shared" si="2"/>
        <v>9.9414558709819953E-2</v>
      </c>
      <c r="G171" t="s">
        <v>473</v>
      </c>
      <c r="H171" t="s">
        <v>473</v>
      </c>
      <c r="I171" t="s">
        <v>473</v>
      </c>
      <c r="J171" t="s">
        <v>473</v>
      </c>
      <c r="K171" t="s">
        <v>473</v>
      </c>
      <c r="L171" t="s">
        <v>473</v>
      </c>
    </row>
    <row r="172" spans="1:12" x14ac:dyDescent="0.2">
      <c r="A172" t="s">
        <v>13</v>
      </c>
      <c r="B172" t="s">
        <v>248</v>
      </c>
      <c r="C172">
        <v>0.15</v>
      </c>
      <c r="D172" s="2" t="s">
        <v>2</v>
      </c>
      <c r="E172">
        <v>97.85</v>
      </c>
      <c r="F172">
        <f t="shared" si="2"/>
        <v>0.15329586101175269</v>
      </c>
      <c r="G172" t="s">
        <v>473</v>
      </c>
      <c r="H172" t="s">
        <v>473</v>
      </c>
      <c r="I172" t="s">
        <v>473</v>
      </c>
      <c r="J172" t="s">
        <v>473</v>
      </c>
      <c r="K172" t="s">
        <v>473</v>
      </c>
      <c r="L172" t="s">
        <v>473</v>
      </c>
    </row>
    <row r="173" spans="1:12" x14ac:dyDescent="0.2">
      <c r="A173" t="s">
        <v>13</v>
      </c>
      <c r="B173" t="s">
        <v>249</v>
      </c>
      <c r="C173">
        <v>0.17</v>
      </c>
      <c r="D173" s="2" t="s">
        <v>2</v>
      </c>
      <c r="E173">
        <v>90.43</v>
      </c>
      <c r="F173">
        <f t="shared" si="2"/>
        <v>0.18799071104721884</v>
      </c>
      <c r="G173" t="s">
        <v>473</v>
      </c>
      <c r="H173" t="s">
        <v>473</v>
      </c>
      <c r="I173" t="s">
        <v>473</v>
      </c>
      <c r="J173" t="s">
        <v>473</v>
      </c>
      <c r="K173" t="s">
        <v>473</v>
      </c>
      <c r="L173" t="s">
        <v>473</v>
      </c>
    </row>
    <row r="174" spans="1:12" x14ac:dyDescent="0.2">
      <c r="A174" t="s">
        <v>13</v>
      </c>
      <c r="B174" t="s">
        <v>250</v>
      </c>
      <c r="C174">
        <v>0.35</v>
      </c>
      <c r="D174" s="2" t="s">
        <v>3</v>
      </c>
      <c r="E174">
        <v>57.15</v>
      </c>
      <c r="F174">
        <f t="shared" si="2"/>
        <v>0.61242344706911633</v>
      </c>
      <c r="G174" t="s">
        <v>473</v>
      </c>
      <c r="H174" t="s">
        <v>473</v>
      </c>
      <c r="I174" t="s">
        <v>473</v>
      </c>
      <c r="J174" t="s">
        <v>473</v>
      </c>
      <c r="K174" t="s">
        <v>473</v>
      </c>
      <c r="L174" t="s">
        <v>473</v>
      </c>
    </row>
    <row r="175" spans="1:12" x14ac:dyDescent="0.2">
      <c r="A175" t="s">
        <v>13</v>
      </c>
      <c r="B175" t="s">
        <v>251</v>
      </c>
      <c r="C175">
        <v>0.17</v>
      </c>
      <c r="D175" s="2" t="s">
        <v>2</v>
      </c>
      <c r="E175">
        <v>88.46</v>
      </c>
      <c r="F175">
        <f t="shared" si="2"/>
        <v>0.19217725525661319</v>
      </c>
      <c r="G175" t="s">
        <v>473</v>
      </c>
      <c r="H175" t="s">
        <v>473</v>
      </c>
      <c r="I175" t="s">
        <v>473</v>
      </c>
      <c r="J175" t="s">
        <v>473</v>
      </c>
      <c r="K175" t="s">
        <v>473</v>
      </c>
      <c r="L175" t="s">
        <v>473</v>
      </c>
    </row>
    <row r="176" spans="1:12" x14ac:dyDescent="0.2">
      <c r="A176" t="s">
        <v>13</v>
      </c>
      <c r="B176" t="s">
        <v>252</v>
      </c>
      <c r="C176">
        <v>0.57999999999999996</v>
      </c>
      <c r="D176" s="2" t="s">
        <v>3</v>
      </c>
      <c r="E176">
        <v>76.760000000000005</v>
      </c>
      <c r="F176">
        <f t="shared" si="2"/>
        <v>0.75560187597707129</v>
      </c>
      <c r="G176" t="s">
        <v>473</v>
      </c>
      <c r="H176" t="s">
        <v>473</v>
      </c>
      <c r="I176" t="s">
        <v>473</v>
      </c>
      <c r="J176" t="s">
        <v>473</v>
      </c>
      <c r="K176" t="s">
        <v>473</v>
      </c>
      <c r="L176" t="s">
        <v>473</v>
      </c>
    </row>
    <row r="177" spans="1:12" x14ac:dyDescent="0.2">
      <c r="A177" t="s">
        <v>13</v>
      </c>
      <c r="B177" t="s">
        <v>253</v>
      </c>
      <c r="C177">
        <v>0.21</v>
      </c>
      <c r="D177" s="2" t="s">
        <v>3</v>
      </c>
      <c r="E177">
        <v>99</v>
      </c>
      <c r="F177">
        <f t="shared" si="2"/>
        <v>0.21212121212121213</v>
      </c>
      <c r="G177" t="s">
        <v>473</v>
      </c>
      <c r="H177" t="s">
        <v>473</v>
      </c>
      <c r="I177" t="s">
        <v>473</v>
      </c>
      <c r="J177" t="s">
        <v>473</v>
      </c>
      <c r="K177" t="s">
        <v>473</v>
      </c>
      <c r="L177" t="s">
        <v>473</v>
      </c>
    </row>
    <row r="178" spans="1:12" x14ac:dyDescent="0.2">
      <c r="A178" t="s">
        <v>13</v>
      </c>
      <c r="B178" t="s">
        <v>254</v>
      </c>
      <c r="C178">
        <v>0.45</v>
      </c>
      <c r="D178" s="2" t="s">
        <v>2</v>
      </c>
      <c r="E178">
        <v>74.88</v>
      </c>
      <c r="F178">
        <f t="shared" si="2"/>
        <v>0.60096153846153855</v>
      </c>
      <c r="G178" t="s">
        <v>473</v>
      </c>
      <c r="H178" t="s">
        <v>473</v>
      </c>
      <c r="I178" t="s">
        <v>473</v>
      </c>
      <c r="J178" t="s">
        <v>473</v>
      </c>
      <c r="K178" t="s">
        <v>473</v>
      </c>
      <c r="L178" t="s">
        <v>473</v>
      </c>
    </row>
    <row r="179" spans="1:12" x14ac:dyDescent="0.2">
      <c r="A179" t="s">
        <v>13</v>
      </c>
      <c r="B179" t="s">
        <v>255</v>
      </c>
      <c r="C179">
        <v>0.52</v>
      </c>
      <c r="D179" s="2" t="s">
        <v>2</v>
      </c>
      <c r="E179">
        <v>85.15</v>
      </c>
      <c r="F179">
        <f t="shared" si="2"/>
        <v>0.61068702290076338</v>
      </c>
      <c r="G179" t="s">
        <v>473</v>
      </c>
      <c r="H179" t="s">
        <v>473</v>
      </c>
      <c r="I179" t="s">
        <v>473</v>
      </c>
      <c r="J179" t="s">
        <v>473</v>
      </c>
      <c r="K179" t="s">
        <v>473</v>
      </c>
      <c r="L179" t="s">
        <v>473</v>
      </c>
    </row>
    <row r="180" spans="1:12" x14ac:dyDescent="0.2">
      <c r="A180" t="s">
        <v>13</v>
      </c>
      <c r="B180" t="s">
        <v>256</v>
      </c>
      <c r="C180">
        <v>0.54</v>
      </c>
      <c r="D180" s="2" t="s">
        <v>5</v>
      </c>
      <c r="E180">
        <v>47.79</v>
      </c>
      <c r="F180">
        <f t="shared" si="2"/>
        <v>1.1299435028248588</v>
      </c>
      <c r="G180" t="s">
        <v>473</v>
      </c>
      <c r="H180" t="s">
        <v>473</v>
      </c>
      <c r="I180" t="s">
        <v>473</v>
      </c>
      <c r="J180" t="s">
        <v>473</v>
      </c>
      <c r="K180" t="s">
        <v>473</v>
      </c>
      <c r="L180" t="s">
        <v>473</v>
      </c>
    </row>
    <row r="181" spans="1:12" x14ac:dyDescent="0.2">
      <c r="A181" t="s">
        <v>13</v>
      </c>
      <c r="B181" t="s">
        <v>257</v>
      </c>
      <c r="C181">
        <v>0.16</v>
      </c>
      <c r="D181" s="2" t="s">
        <v>9</v>
      </c>
      <c r="E181">
        <v>85.56</v>
      </c>
      <c r="F181">
        <f t="shared" si="2"/>
        <v>0.18700327255726976</v>
      </c>
      <c r="G181" t="s">
        <v>473</v>
      </c>
      <c r="H181" t="s">
        <v>473</v>
      </c>
      <c r="I181" t="s">
        <v>473</v>
      </c>
      <c r="J181" t="s">
        <v>473</v>
      </c>
      <c r="K181" t="s">
        <v>473</v>
      </c>
      <c r="L181" t="s">
        <v>473</v>
      </c>
    </row>
    <row r="182" spans="1:12" x14ac:dyDescent="0.2">
      <c r="A182" t="s">
        <v>13</v>
      </c>
      <c r="B182" t="s">
        <v>258</v>
      </c>
      <c r="C182">
        <v>0.24</v>
      </c>
      <c r="D182" s="2" t="s">
        <v>3</v>
      </c>
      <c r="E182">
        <v>97.08</v>
      </c>
      <c r="F182">
        <f t="shared" si="2"/>
        <v>0.24721878862793573</v>
      </c>
      <c r="G182" t="s">
        <v>473</v>
      </c>
      <c r="H182" t="s">
        <v>473</v>
      </c>
      <c r="I182" t="s">
        <v>473</v>
      </c>
      <c r="J182" t="s">
        <v>473</v>
      </c>
      <c r="K182" t="s">
        <v>473</v>
      </c>
      <c r="L182" t="s">
        <v>473</v>
      </c>
    </row>
    <row r="183" spans="1:12" x14ac:dyDescent="0.2">
      <c r="A183" t="s">
        <v>13</v>
      </c>
      <c r="B183" t="s">
        <v>259</v>
      </c>
      <c r="C183">
        <v>0.39</v>
      </c>
      <c r="D183" s="2" t="s">
        <v>5</v>
      </c>
      <c r="E183">
        <v>75.260000000000005</v>
      </c>
      <c r="F183">
        <f t="shared" si="2"/>
        <v>0.5182035609885729</v>
      </c>
      <c r="G183" t="s">
        <v>473</v>
      </c>
      <c r="H183" t="s">
        <v>473</v>
      </c>
      <c r="I183" t="s">
        <v>473</v>
      </c>
      <c r="J183" t="s">
        <v>473</v>
      </c>
      <c r="K183" t="s">
        <v>473</v>
      </c>
      <c r="L183" t="s">
        <v>473</v>
      </c>
    </row>
    <row r="184" spans="1:12" x14ac:dyDescent="0.2">
      <c r="A184" t="s">
        <v>13</v>
      </c>
      <c r="B184" t="s">
        <v>260</v>
      </c>
      <c r="C184">
        <v>0.05</v>
      </c>
      <c r="D184" s="2" t="s">
        <v>3</v>
      </c>
      <c r="E184">
        <v>78.7</v>
      </c>
      <c r="F184">
        <f t="shared" si="2"/>
        <v>6.353240152477764E-2</v>
      </c>
      <c r="G184" t="s">
        <v>473</v>
      </c>
      <c r="H184" t="s">
        <v>473</v>
      </c>
      <c r="I184" t="s">
        <v>473</v>
      </c>
      <c r="J184" t="s">
        <v>473</v>
      </c>
      <c r="K184" t="s">
        <v>473</v>
      </c>
      <c r="L184" t="s">
        <v>473</v>
      </c>
    </row>
    <row r="185" spans="1:12" x14ac:dyDescent="0.2">
      <c r="A185" t="s">
        <v>13</v>
      </c>
      <c r="B185" t="s">
        <v>261</v>
      </c>
      <c r="C185">
        <v>0.48</v>
      </c>
      <c r="D185" s="2" t="s">
        <v>2</v>
      </c>
      <c r="E185">
        <v>54.63</v>
      </c>
      <c r="F185">
        <f t="shared" si="2"/>
        <v>0.87863811092806143</v>
      </c>
      <c r="G185" t="s">
        <v>473</v>
      </c>
      <c r="H185" t="s">
        <v>473</v>
      </c>
      <c r="I185" t="s">
        <v>473</v>
      </c>
      <c r="J185" t="s">
        <v>473</v>
      </c>
      <c r="K185" t="s">
        <v>473</v>
      </c>
      <c r="L185" t="s">
        <v>473</v>
      </c>
    </row>
    <row r="186" spans="1:12" x14ac:dyDescent="0.2">
      <c r="A186" t="s">
        <v>13</v>
      </c>
      <c r="B186" t="s">
        <v>262</v>
      </c>
      <c r="C186">
        <v>0.46</v>
      </c>
      <c r="D186" s="2" t="s">
        <v>2</v>
      </c>
      <c r="E186">
        <v>85.38</v>
      </c>
      <c r="F186">
        <f t="shared" si="2"/>
        <v>0.53876786132583743</v>
      </c>
      <c r="G186" t="s">
        <v>473</v>
      </c>
      <c r="H186" t="s">
        <v>473</v>
      </c>
      <c r="I186" t="s">
        <v>473</v>
      </c>
      <c r="J186" t="s">
        <v>473</v>
      </c>
      <c r="K186" t="s">
        <v>473</v>
      </c>
      <c r="L186" t="s">
        <v>473</v>
      </c>
    </row>
    <row r="187" spans="1:12" x14ac:dyDescent="0.2">
      <c r="A187" t="s">
        <v>13</v>
      </c>
      <c r="B187" t="s">
        <v>263</v>
      </c>
      <c r="C187">
        <v>0.23</v>
      </c>
      <c r="D187" s="2" t="s">
        <v>3</v>
      </c>
      <c r="E187">
        <v>81.510000000000005</v>
      </c>
      <c r="F187">
        <f t="shared" si="2"/>
        <v>0.28217396638449271</v>
      </c>
      <c r="G187" t="s">
        <v>473</v>
      </c>
      <c r="H187" t="s">
        <v>473</v>
      </c>
      <c r="I187" t="s">
        <v>473</v>
      </c>
      <c r="J187" t="s">
        <v>473</v>
      </c>
      <c r="K187" t="s">
        <v>473</v>
      </c>
      <c r="L187" t="s">
        <v>473</v>
      </c>
    </row>
    <row r="188" spans="1:12" x14ac:dyDescent="0.2">
      <c r="A188" t="s">
        <v>13</v>
      </c>
      <c r="B188" t="s">
        <v>264</v>
      </c>
      <c r="C188">
        <v>0.19</v>
      </c>
      <c r="D188" s="2" t="s">
        <v>2</v>
      </c>
      <c r="E188">
        <v>94.6</v>
      </c>
      <c r="F188">
        <f t="shared" si="2"/>
        <v>0.20084566596194506</v>
      </c>
      <c r="G188" t="s">
        <v>473</v>
      </c>
      <c r="H188" t="s">
        <v>473</v>
      </c>
      <c r="I188" t="s">
        <v>473</v>
      </c>
      <c r="J188" t="s">
        <v>473</v>
      </c>
      <c r="K188" t="s">
        <v>473</v>
      </c>
      <c r="L188" t="s">
        <v>473</v>
      </c>
    </row>
    <row r="189" spans="1:12" x14ac:dyDescent="0.2">
      <c r="A189" t="s">
        <v>13</v>
      </c>
      <c r="B189" t="s">
        <v>265</v>
      </c>
      <c r="C189">
        <v>0.19</v>
      </c>
      <c r="D189" s="2" t="s">
        <v>2</v>
      </c>
      <c r="E189">
        <v>94.6</v>
      </c>
      <c r="F189">
        <f t="shared" si="2"/>
        <v>0.20084566596194506</v>
      </c>
      <c r="G189" t="s">
        <v>473</v>
      </c>
      <c r="H189" t="s">
        <v>473</v>
      </c>
      <c r="I189" t="s">
        <v>473</v>
      </c>
      <c r="J189" t="s">
        <v>473</v>
      </c>
      <c r="K189" t="s">
        <v>473</v>
      </c>
      <c r="L189" t="s">
        <v>473</v>
      </c>
    </row>
    <row r="190" spans="1:12" x14ac:dyDescent="0.2">
      <c r="A190" t="s">
        <v>13</v>
      </c>
      <c r="B190" t="s">
        <v>266</v>
      </c>
      <c r="C190">
        <v>0.44</v>
      </c>
      <c r="D190" s="2" t="s">
        <v>2</v>
      </c>
      <c r="E190">
        <v>89.56</v>
      </c>
      <c r="F190">
        <f t="shared" si="2"/>
        <v>0.49129075480125051</v>
      </c>
      <c r="G190" t="s">
        <v>473</v>
      </c>
      <c r="H190" t="s">
        <v>473</v>
      </c>
      <c r="I190" t="s">
        <v>473</v>
      </c>
      <c r="J190" t="s">
        <v>473</v>
      </c>
      <c r="K190" t="s">
        <v>473</v>
      </c>
      <c r="L190" t="s">
        <v>473</v>
      </c>
    </row>
    <row r="191" spans="1:12" x14ac:dyDescent="0.2">
      <c r="A191" t="s">
        <v>13</v>
      </c>
      <c r="B191" t="s">
        <v>267</v>
      </c>
      <c r="C191">
        <v>0.18</v>
      </c>
      <c r="D191" s="2" t="s">
        <v>2</v>
      </c>
      <c r="E191">
        <v>60.11</v>
      </c>
      <c r="F191">
        <f t="shared" si="2"/>
        <v>0.29945100648810513</v>
      </c>
      <c r="G191" t="s">
        <v>473</v>
      </c>
      <c r="H191" t="s">
        <v>473</v>
      </c>
      <c r="I191" t="s">
        <v>473</v>
      </c>
      <c r="J191" t="s">
        <v>473</v>
      </c>
      <c r="K191" t="s">
        <v>473</v>
      </c>
      <c r="L191" t="s">
        <v>473</v>
      </c>
    </row>
    <row r="192" spans="1:12" x14ac:dyDescent="0.2">
      <c r="A192" t="s">
        <v>13</v>
      </c>
      <c r="B192" t="s">
        <v>268</v>
      </c>
      <c r="C192">
        <v>0.69</v>
      </c>
      <c r="D192" s="2" t="s">
        <v>5</v>
      </c>
      <c r="E192">
        <v>80.260000000000005</v>
      </c>
      <c r="F192">
        <f t="shared" si="2"/>
        <v>0.85970595564415631</v>
      </c>
      <c r="G192" t="s">
        <v>473</v>
      </c>
      <c r="H192" t="s">
        <v>473</v>
      </c>
      <c r="I192" t="s">
        <v>473</v>
      </c>
      <c r="J192" t="s">
        <v>473</v>
      </c>
      <c r="K192" t="s">
        <v>473</v>
      </c>
      <c r="L192" t="s">
        <v>473</v>
      </c>
    </row>
    <row r="193" spans="1:12" x14ac:dyDescent="0.2">
      <c r="A193" t="s">
        <v>13</v>
      </c>
      <c r="B193" t="s">
        <v>269</v>
      </c>
      <c r="C193">
        <v>0.63</v>
      </c>
      <c r="D193" s="2" t="s">
        <v>2</v>
      </c>
      <c r="E193">
        <v>86.55</v>
      </c>
      <c r="F193">
        <f t="shared" si="2"/>
        <v>0.72790294627383023</v>
      </c>
      <c r="G193" t="s">
        <v>473</v>
      </c>
      <c r="H193" t="s">
        <v>473</v>
      </c>
      <c r="I193" t="s">
        <v>473</v>
      </c>
      <c r="J193" t="s">
        <v>473</v>
      </c>
      <c r="K193" t="s">
        <v>473</v>
      </c>
      <c r="L193" t="s">
        <v>473</v>
      </c>
    </row>
    <row r="194" spans="1:12" x14ac:dyDescent="0.2">
      <c r="A194" t="s">
        <v>13</v>
      </c>
      <c r="B194" t="s">
        <v>270</v>
      </c>
      <c r="C194">
        <v>0.06</v>
      </c>
      <c r="D194" s="2" t="s">
        <v>3</v>
      </c>
      <c r="E194">
        <v>78.540000000000006</v>
      </c>
      <c r="F194">
        <f t="shared" ref="F194:F257" si="3">C194/(E194/100)</f>
        <v>7.6394194041252847E-2</v>
      </c>
      <c r="G194" t="s">
        <v>473</v>
      </c>
      <c r="H194" t="s">
        <v>473</v>
      </c>
      <c r="I194" t="s">
        <v>473</v>
      </c>
      <c r="J194" t="s">
        <v>473</v>
      </c>
      <c r="K194" t="s">
        <v>473</v>
      </c>
      <c r="L194" t="s">
        <v>473</v>
      </c>
    </row>
    <row r="195" spans="1:12" x14ac:dyDescent="0.2">
      <c r="A195" t="s">
        <v>13</v>
      </c>
      <c r="B195" t="s">
        <v>271</v>
      </c>
      <c r="C195">
        <v>0.25</v>
      </c>
      <c r="D195" s="2" t="s">
        <v>3</v>
      </c>
      <c r="E195">
        <v>79.05</v>
      </c>
      <c r="F195">
        <f t="shared" si="3"/>
        <v>0.31625553447185328</v>
      </c>
      <c r="G195" t="s">
        <v>473</v>
      </c>
      <c r="H195" t="s">
        <v>473</v>
      </c>
      <c r="I195" t="s">
        <v>473</v>
      </c>
      <c r="J195" t="s">
        <v>473</v>
      </c>
      <c r="K195" t="s">
        <v>473</v>
      </c>
      <c r="L195" t="s">
        <v>473</v>
      </c>
    </row>
    <row r="196" spans="1:12" x14ac:dyDescent="0.2">
      <c r="A196" t="s">
        <v>13</v>
      </c>
      <c r="B196" t="s">
        <v>272</v>
      </c>
      <c r="C196">
        <v>1.1399999999999999</v>
      </c>
      <c r="D196" s="2" t="s">
        <v>2</v>
      </c>
      <c r="E196">
        <v>89.09</v>
      </c>
      <c r="F196">
        <f t="shared" si="3"/>
        <v>1.2796048939274889</v>
      </c>
      <c r="G196" t="s">
        <v>473</v>
      </c>
      <c r="H196" t="s">
        <v>473</v>
      </c>
      <c r="I196" t="s">
        <v>473</v>
      </c>
      <c r="J196" t="s">
        <v>473</v>
      </c>
      <c r="K196" t="s">
        <v>473</v>
      </c>
      <c r="L196" t="s">
        <v>473</v>
      </c>
    </row>
    <row r="197" spans="1:12" x14ac:dyDescent="0.2">
      <c r="A197" t="s">
        <v>13</v>
      </c>
      <c r="B197" t="s">
        <v>273</v>
      </c>
      <c r="C197">
        <v>0.42</v>
      </c>
      <c r="D197" s="2" t="s">
        <v>2</v>
      </c>
      <c r="E197">
        <v>79.09</v>
      </c>
      <c r="F197">
        <f t="shared" si="3"/>
        <v>0.53104058667341003</v>
      </c>
      <c r="G197" t="s">
        <v>473</v>
      </c>
      <c r="H197" t="s">
        <v>473</v>
      </c>
      <c r="I197" t="s">
        <v>473</v>
      </c>
      <c r="J197" t="s">
        <v>473</v>
      </c>
      <c r="K197" t="s">
        <v>473</v>
      </c>
      <c r="L197" t="s">
        <v>473</v>
      </c>
    </row>
    <row r="198" spans="1:12" x14ac:dyDescent="0.2">
      <c r="A198" t="s">
        <v>13</v>
      </c>
      <c r="B198" t="s">
        <v>274</v>
      </c>
      <c r="C198">
        <v>0.44</v>
      </c>
      <c r="D198" s="2" t="s">
        <v>2</v>
      </c>
      <c r="E198">
        <v>85.98</v>
      </c>
      <c r="F198">
        <f t="shared" si="3"/>
        <v>0.51174691788788085</v>
      </c>
      <c r="G198" t="s">
        <v>473</v>
      </c>
      <c r="H198" t="s">
        <v>473</v>
      </c>
      <c r="I198" t="s">
        <v>473</v>
      </c>
      <c r="J198" t="s">
        <v>473</v>
      </c>
      <c r="K198" t="s">
        <v>473</v>
      </c>
      <c r="L198" t="s">
        <v>473</v>
      </c>
    </row>
    <row r="199" spans="1:12" x14ac:dyDescent="0.2">
      <c r="A199" t="s">
        <v>13</v>
      </c>
      <c r="B199" t="s">
        <v>275</v>
      </c>
      <c r="C199">
        <v>0.6</v>
      </c>
      <c r="D199" s="2" t="s">
        <v>6</v>
      </c>
      <c r="E199">
        <v>100</v>
      </c>
      <c r="F199">
        <f t="shared" si="3"/>
        <v>0.6</v>
      </c>
      <c r="G199" t="s">
        <v>473</v>
      </c>
      <c r="H199" t="s">
        <v>473</v>
      </c>
      <c r="I199" t="s">
        <v>473</v>
      </c>
      <c r="J199" t="s">
        <v>473</v>
      </c>
      <c r="K199" t="s">
        <v>473</v>
      </c>
      <c r="L199" t="s">
        <v>473</v>
      </c>
    </row>
    <row r="200" spans="1:12" x14ac:dyDescent="0.2">
      <c r="A200" t="s">
        <v>13</v>
      </c>
      <c r="B200" t="s">
        <v>276</v>
      </c>
      <c r="C200">
        <v>0.84</v>
      </c>
      <c r="D200" s="2" t="s">
        <v>2</v>
      </c>
      <c r="E200">
        <v>86.47</v>
      </c>
      <c r="F200">
        <f t="shared" si="3"/>
        <v>0.97143517983115524</v>
      </c>
      <c r="G200" t="s">
        <v>473</v>
      </c>
      <c r="H200" t="s">
        <v>473</v>
      </c>
      <c r="I200" t="s">
        <v>473</v>
      </c>
      <c r="J200" t="s">
        <v>473</v>
      </c>
      <c r="K200" t="s">
        <v>473</v>
      </c>
      <c r="L200" t="s">
        <v>473</v>
      </c>
    </row>
    <row r="201" spans="1:12" x14ac:dyDescent="0.2">
      <c r="A201" t="s">
        <v>13</v>
      </c>
      <c r="B201" t="s">
        <v>277</v>
      </c>
      <c r="C201">
        <v>0.57999999999999996</v>
      </c>
      <c r="D201" s="2" t="s">
        <v>2</v>
      </c>
      <c r="E201">
        <v>88.23</v>
      </c>
      <c r="F201">
        <f t="shared" si="3"/>
        <v>0.65737277569987518</v>
      </c>
      <c r="G201" t="s">
        <v>473</v>
      </c>
      <c r="H201" t="s">
        <v>473</v>
      </c>
      <c r="I201" t="s">
        <v>473</v>
      </c>
      <c r="J201" t="s">
        <v>473</v>
      </c>
      <c r="K201" t="s">
        <v>473</v>
      </c>
      <c r="L201" t="s">
        <v>473</v>
      </c>
    </row>
    <row r="202" spans="1:12" x14ac:dyDescent="0.2">
      <c r="A202" t="s">
        <v>13</v>
      </c>
      <c r="B202" t="s">
        <v>26</v>
      </c>
      <c r="C202">
        <v>0.09</v>
      </c>
      <c r="D202" s="2" t="s">
        <v>2</v>
      </c>
      <c r="E202">
        <v>89.47</v>
      </c>
      <c r="F202">
        <f t="shared" si="3"/>
        <v>0.10059237733318431</v>
      </c>
      <c r="G202" t="s">
        <v>473</v>
      </c>
      <c r="H202" t="s">
        <v>473</v>
      </c>
      <c r="I202" t="s">
        <v>473</v>
      </c>
      <c r="J202" t="s">
        <v>473</v>
      </c>
      <c r="K202" t="s">
        <v>473</v>
      </c>
      <c r="L202" t="s">
        <v>473</v>
      </c>
    </row>
    <row r="203" spans="1:12" x14ac:dyDescent="0.2">
      <c r="A203" t="s">
        <v>13</v>
      </c>
      <c r="B203" t="s">
        <v>278</v>
      </c>
      <c r="C203">
        <v>0.31</v>
      </c>
      <c r="D203" s="2" t="s">
        <v>5</v>
      </c>
      <c r="E203">
        <v>70.61</v>
      </c>
      <c r="F203">
        <f t="shared" si="3"/>
        <v>0.43903129868290613</v>
      </c>
      <c r="G203" t="s">
        <v>473</v>
      </c>
      <c r="H203" t="s">
        <v>473</v>
      </c>
      <c r="I203" t="s">
        <v>473</v>
      </c>
      <c r="J203" t="s">
        <v>473</v>
      </c>
      <c r="K203" t="s">
        <v>473</v>
      </c>
      <c r="L203" t="s">
        <v>473</v>
      </c>
    </row>
    <row r="204" spans="1:12" x14ac:dyDescent="0.2">
      <c r="A204" t="s">
        <v>13</v>
      </c>
      <c r="B204" t="s">
        <v>279</v>
      </c>
      <c r="C204">
        <v>0.2</v>
      </c>
      <c r="D204" s="2" t="s">
        <v>3</v>
      </c>
      <c r="E204">
        <v>95.41</v>
      </c>
      <c r="F204">
        <f t="shared" si="3"/>
        <v>0.20962163295252073</v>
      </c>
      <c r="G204" t="s">
        <v>473</v>
      </c>
      <c r="H204" t="s">
        <v>473</v>
      </c>
      <c r="I204" t="s">
        <v>473</v>
      </c>
      <c r="J204" t="s">
        <v>473</v>
      </c>
      <c r="K204" t="s">
        <v>473</v>
      </c>
      <c r="L204" t="s">
        <v>473</v>
      </c>
    </row>
    <row r="205" spans="1:12" x14ac:dyDescent="0.2">
      <c r="A205" t="s">
        <v>13</v>
      </c>
      <c r="B205" t="s">
        <v>280</v>
      </c>
      <c r="C205">
        <v>1.95</v>
      </c>
      <c r="D205" s="2" t="s">
        <v>2</v>
      </c>
      <c r="E205">
        <v>93.92</v>
      </c>
      <c r="F205">
        <f t="shared" si="3"/>
        <v>2.0762350936967633</v>
      </c>
      <c r="G205" t="s">
        <v>473</v>
      </c>
      <c r="H205" t="s">
        <v>473</v>
      </c>
      <c r="I205" t="s">
        <v>473</v>
      </c>
      <c r="J205" t="s">
        <v>473</v>
      </c>
      <c r="K205" t="s">
        <v>473</v>
      </c>
      <c r="L205" t="s">
        <v>473</v>
      </c>
    </row>
    <row r="206" spans="1:12" x14ac:dyDescent="0.2">
      <c r="A206" t="s">
        <v>13</v>
      </c>
      <c r="B206" t="s">
        <v>281</v>
      </c>
      <c r="C206">
        <v>2.39</v>
      </c>
      <c r="D206" s="2" t="s">
        <v>2</v>
      </c>
      <c r="E206">
        <v>92.67</v>
      </c>
      <c r="F206">
        <f t="shared" si="3"/>
        <v>2.5790439192834791</v>
      </c>
      <c r="G206" t="s">
        <v>473</v>
      </c>
      <c r="H206" t="s">
        <v>473</v>
      </c>
      <c r="I206" t="s">
        <v>473</v>
      </c>
      <c r="J206" t="s">
        <v>473</v>
      </c>
      <c r="K206" t="s">
        <v>473</v>
      </c>
      <c r="L206" t="s">
        <v>473</v>
      </c>
    </row>
    <row r="207" spans="1:12" x14ac:dyDescent="0.2">
      <c r="A207" t="s">
        <v>13</v>
      </c>
      <c r="B207" t="s">
        <v>282</v>
      </c>
      <c r="C207">
        <v>0.2</v>
      </c>
      <c r="D207" s="2" t="s">
        <v>2</v>
      </c>
      <c r="E207">
        <v>82.86</v>
      </c>
      <c r="F207">
        <f t="shared" si="3"/>
        <v>0.24137098720733768</v>
      </c>
      <c r="G207" t="s">
        <v>473</v>
      </c>
      <c r="H207" t="s">
        <v>473</v>
      </c>
      <c r="I207" t="s">
        <v>473</v>
      </c>
      <c r="J207" t="s">
        <v>473</v>
      </c>
      <c r="K207" t="s">
        <v>473</v>
      </c>
      <c r="L207" t="s">
        <v>473</v>
      </c>
    </row>
    <row r="208" spans="1:12" x14ac:dyDescent="0.2">
      <c r="A208" t="s">
        <v>13</v>
      </c>
      <c r="B208" t="s">
        <v>283</v>
      </c>
      <c r="C208">
        <v>0.62</v>
      </c>
      <c r="D208" s="2" t="s">
        <v>5</v>
      </c>
      <c r="E208">
        <v>83.29</v>
      </c>
      <c r="F208">
        <f t="shared" si="3"/>
        <v>0.74438708128226672</v>
      </c>
      <c r="G208" t="s">
        <v>473</v>
      </c>
      <c r="H208" t="s">
        <v>473</v>
      </c>
      <c r="I208" t="s">
        <v>473</v>
      </c>
      <c r="J208" t="s">
        <v>473</v>
      </c>
      <c r="K208" t="s">
        <v>473</v>
      </c>
      <c r="L208" t="s">
        <v>473</v>
      </c>
    </row>
    <row r="209" spans="1:12" x14ac:dyDescent="0.2">
      <c r="A209" t="s">
        <v>13</v>
      </c>
      <c r="B209" t="s">
        <v>284</v>
      </c>
      <c r="C209">
        <v>0.06</v>
      </c>
      <c r="D209" s="2" t="s">
        <v>3</v>
      </c>
      <c r="E209">
        <v>78.62</v>
      </c>
      <c r="F209">
        <f t="shared" si="3"/>
        <v>7.6316458916306285E-2</v>
      </c>
      <c r="G209" t="s">
        <v>473</v>
      </c>
      <c r="H209" t="s">
        <v>473</v>
      </c>
      <c r="I209" t="s">
        <v>473</v>
      </c>
      <c r="J209" t="s">
        <v>473</v>
      </c>
      <c r="K209" t="s">
        <v>473</v>
      </c>
      <c r="L209" t="s">
        <v>473</v>
      </c>
    </row>
    <row r="210" spans="1:12" x14ac:dyDescent="0.2">
      <c r="A210" t="s">
        <v>13</v>
      </c>
      <c r="B210" t="s">
        <v>285</v>
      </c>
      <c r="C210">
        <v>0.18</v>
      </c>
      <c r="D210" s="2" t="s">
        <v>2</v>
      </c>
      <c r="E210">
        <v>90.86</v>
      </c>
      <c r="F210">
        <f t="shared" si="3"/>
        <v>0.19810697776799471</v>
      </c>
      <c r="G210" t="s">
        <v>473</v>
      </c>
      <c r="H210" t="s">
        <v>473</v>
      </c>
      <c r="I210" t="s">
        <v>473</v>
      </c>
      <c r="J210" t="s">
        <v>473</v>
      </c>
      <c r="K210" t="s">
        <v>473</v>
      </c>
      <c r="L210" t="s">
        <v>473</v>
      </c>
    </row>
    <row r="211" spans="1:12" x14ac:dyDescent="0.2">
      <c r="A211" t="s">
        <v>13</v>
      </c>
      <c r="B211" t="s">
        <v>286</v>
      </c>
      <c r="C211">
        <v>0.16</v>
      </c>
      <c r="D211" s="2" t="s">
        <v>2</v>
      </c>
      <c r="E211">
        <v>72.239999999999995</v>
      </c>
      <c r="F211">
        <f t="shared" si="3"/>
        <v>0.22148394241417499</v>
      </c>
      <c r="G211" t="s">
        <v>473</v>
      </c>
      <c r="H211" t="s">
        <v>473</v>
      </c>
      <c r="I211" t="s">
        <v>473</v>
      </c>
      <c r="J211" t="s">
        <v>473</v>
      </c>
      <c r="K211" t="s">
        <v>473</v>
      </c>
      <c r="L211" t="s">
        <v>473</v>
      </c>
    </row>
    <row r="212" spans="1:12" x14ac:dyDescent="0.2">
      <c r="A212" t="s">
        <v>13</v>
      </c>
      <c r="B212" t="s">
        <v>287</v>
      </c>
      <c r="C212">
        <v>0.86</v>
      </c>
      <c r="D212" s="2" t="s">
        <v>5</v>
      </c>
      <c r="E212">
        <v>73.040000000000006</v>
      </c>
      <c r="F212">
        <f t="shared" si="3"/>
        <v>1.1774370208105147</v>
      </c>
      <c r="G212" t="s">
        <v>473</v>
      </c>
      <c r="H212" t="s">
        <v>473</v>
      </c>
      <c r="I212" t="s">
        <v>473</v>
      </c>
      <c r="J212" t="s">
        <v>473</v>
      </c>
      <c r="K212" t="s">
        <v>473</v>
      </c>
      <c r="L212" t="s">
        <v>473</v>
      </c>
    </row>
    <row r="213" spans="1:12" x14ac:dyDescent="0.2">
      <c r="A213" t="s">
        <v>13</v>
      </c>
      <c r="B213" t="s">
        <v>288</v>
      </c>
      <c r="C213">
        <v>0.95</v>
      </c>
      <c r="D213" s="2" t="s">
        <v>2</v>
      </c>
      <c r="E213">
        <v>96.83</v>
      </c>
      <c r="F213">
        <f t="shared" si="3"/>
        <v>0.98110089848187543</v>
      </c>
      <c r="G213" t="s">
        <v>473</v>
      </c>
      <c r="H213" t="s">
        <v>473</v>
      </c>
      <c r="I213" t="s">
        <v>473</v>
      </c>
      <c r="J213" t="s">
        <v>473</v>
      </c>
      <c r="K213" t="s">
        <v>473</v>
      </c>
      <c r="L213" t="s">
        <v>473</v>
      </c>
    </row>
    <row r="214" spans="1:12" x14ac:dyDescent="0.2">
      <c r="A214" t="s">
        <v>13</v>
      </c>
      <c r="B214" t="s">
        <v>289</v>
      </c>
      <c r="C214">
        <v>0.63</v>
      </c>
      <c r="D214" s="2" t="s">
        <v>2</v>
      </c>
      <c r="E214">
        <v>76.91</v>
      </c>
      <c r="F214">
        <f t="shared" si="3"/>
        <v>0.81913925367312446</v>
      </c>
      <c r="G214" t="s">
        <v>473</v>
      </c>
      <c r="H214" t="s">
        <v>473</v>
      </c>
      <c r="I214" t="s">
        <v>473</v>
      </c>
      <c r="J214" t="s">
        <v>473</v>
      </c>
      <c r="K214" t="s">
        <v>473</v>
      </c>
      <c r="L214" t="s">
        <v>473</v>
      </c>
    </row>
    <row r="215" spans="1:12" x14ac:dyDescent="0.2">
      <c r="A215" t="s">
        <v>13</v>
      </c>
      <c r="B215" t="s">
        <v>290</v>
      </c>
      <c r="C215">
        <v>0.12</v>
      </c>
      <c r="D215" s="2" t="s">
        <v>3</v>
      </c>
      <c r="E215">
        <v>47.02</v>
      </c>
      <c r="F215">
        <f t="shared" si="3"/>
        <v>0.25521054870267967</v>
      </c>
      <c r="G215" t="s">
        <v>473</v>
      </c>
      <c r="H215" t="s">
        <v>473</v>
      </c>
      <c r="I215" t="s">
        <v>473</v>
      </c>
      <c r="J215" t="s">
        <v>473</v>
      </c>
      <c r="K215" t="s">
        <v>473</v>
      </c>
      <c r="L215" t="s">
        <v>473</v>
      </c>
    </row>
    <row r="216" spans="1:12" x14ac:dyDescent="0.2">
      <c r="A216" t="s">
        <v>13</v>
      </c>
      <c r="B216" t="s">
        <v>291</v>
      </c>
      <c r="C216">
        <v>0.09</v>
      </c>
      <c r="D216" s="2" t="s">
        <v>2</v>
      </c>
      <c r="E216">
        <v>83.93</v>
      </c>
      <c r="F216">
        <f t="shared" si="3"/>
        <v>0.10723221732396043</v>
      </c>
      <c r="G216" t="s">
        <v>473</v>
      </c>
      <c r="H216" t="s">
        <v>473</v>
      </c>
      <c r="I216" t="s">
        <v>473</v>
      </c>
      <c r="J216" t="s">
        <v>473</v>
      </c>
      <c r="K216" t="s">
        <v>473</v>
      </c>
      <c r="L216" t="s">
        <v>473</v>
      </c>
    </row>
    <row r="217" spans="1:12" x14ac:dyDescent="0.2">
      <c r="A217" t="s">
        <v>13</v>
      </c>
      <c r="B217" t="s">
        <v>292</v>
      </c>
      <c r="C217">
        <v>0.37</v>
      </c>
      <c r="D217" s="2" t="s">
        <v>6</v>
      </c>
      <c r="E217">
        <v>98.07</v>
      </c>
      <c r="F217">
        <f t="shared" si="3"/>
        <v>0.37728153359845013</v>
      </c>
      <c r="G217" t="s">
        <v>473</v>
      </c>
      <c r="H217" t="s">
        <v>473</v>
      </c>
      <c r="I217" t="s">
        <v>473</v>
      </c>
      <c r="J217" t="s">
        <v>473</v>
      </c>
      <c r="K217" t="s">
        <v>473</v>
      </c>
      <c r="L217" t="s">
        <v>473</v>
      </c>
    </row>
    <row r="218" spans="1:12" x14ac:dyDescent="0.2">
      <c r="A218" t="s">
        <v>13</v>
      </c>
      <c r="B218" t="s">
        <v>293</v>
      </c>
      <c r="C218">
        <v>0.52</v>
      </c>
      <c r="D218" s="2" t="s">
        <v>2</v>
      </c>
      <c r="E218">
        <v>89.26</v>
      </c>
      <c r="F218">
        <f t="shared" si="3"/>
        <v>0.58256777952050187</v>
      </c>
      <c r="G218" t="s">
        <v>473</v>
      </c>
      <c r="H218" t="s">
        <v>473</v>
      </c>
      <c r="I218" t="s">
        <v>473</v>
      </c>
      <c r="J218" t="s">
        <v>473</v>
      </c>
      <c r="K218" t="s">
        <v>473</v>
      </c>
      <c r="L218" t="s">
        <v>473</v>
      </c>
    </row>
    <row r="219" spans="1:12" x14ac:dyDescent="0.2">
      <c r="A219" t="s">
        <v>13</v>
      </c>
      <c r="B219" t="s">
        <v>294</v>
      </c>
      <c r="C219">
        <v>0.21</v>
      </c>
      <c r="D219" s="2" t="s">
        <v>2</v>
      </c>
      <c r="E219">
        <v>87.91</v>
      </c>
      <c r="F219">
        <f t="shared" si="3"/>
        <v>0.23888067341599362</v>
      </c>
      <c r="G219" t="s">
        <v>473</v>
      </c>
      <c r="H219" t="s">
        <v>473</v>
      </c>
      <c r="I219" t="s">
        <v>473</v>
      </c>
      <c r="J219" t="s">
        <v>473</v>
      </c>
      <c r="K219" t="s">
        <v>473</v>
      </c>
      <c r="L219" t="s">
        <v>473</v>
      </c>
    </row>
    <row r="220" spans="1:12" x14ac:dyDescent="0.2">
      <c r="A220" t="s">
        <v>13</v>
      </c>
      <c r="B220" t="s">
        <v>295</v>
      </c>
      <c r="C220">
        <v>0.17</v>
      </c>
      <c r="D220" s="2" t="s">
        <v>5</v>
      </c>
      <c r="E220">
        <v>58.28</v>
      </c>
      <c r="F220">
        <f t="shared" si="3"/>
        <v>0.29169526424159237</v>
      </c>
      <c r="G220" t="s">
        <v>473</v>
      </c>
      <c r="H220" t="s">
        <v>473</v>
      </c>
      <c r="I220" t="s">
        <v>473</v>
      </c>
      <c r="J220" t="s">
        <v>473</v>
      </c>
      <c r="K220" t="s">
        <v>473</v>
      </c>
      <c r="L220" t="s">
        <v>473</v>
      </c>
    </row>
    <row r="221" spans="1:12" x14ac:dyDescent="0.2">
      <c r="A221" t="s">
        <v>13</v>
      </c>
      <c r="B221" t="s">
        <v>296</v>
      </c>
      <c r="C221">
        <v>0.19</v>
      </c>
      <c r="D221" s="2" t="s">
        <v>3</v>
      </c>
      <c r="E221">
        <v>93.82</v>
      </c>
      <c r="F221">
        <f t="shared" si="3"/>
        <v>0.20251545512683863</v>
      </c>
      <c r="G221" t="s">
        <v>473</v>
      </c>
      <c r="H221" t="s">
        <v>473</v>
      </c>
      <c r="I221" t="s">
        <v>473</v>
      </c>
      <c r="J221" t="s">
        <v>473</v>
      </c>
      <c r="K221" t="s">
        <v>473</v>
      </c>
      <c r="L221" t="s">
        <v>473</v>
      </c>
    </row>
    <row r="222" spans="1:12" x14ac:dyDescent="0.2">
      <c r="A222" t="s">
        <v>13</v>
      </c>
      <c r="B222" t="s">
        <v>297</v>
      </c>
      <c r="C222">
        <v>0.68</v>
      </c>
      <c r="D222" s="2" t="s">
        <v>6</v>
      </c>
      <c r="E222">
        <v>61.59</v>
      </c>
      <c r="F222">
        <f t="shared" si="3"/>
        <v>1.1040753369053418</v>
      </c>
      <c r="G222" t="s">
        <v>473</v>
      </c>
      <c r="H222" t="s">
        <v>473</v>
      </c>
      <c r="I222" t="s">
        <v>473</v>
      </c>
      <c r="J222" t="s">
        <v>473</v>
      </c>
      <c r="K222" t="s">
        <v>473</v>
      </c>
      <c r="L222" t="s">
        <v>473</v>
      </c>
    </row>
    <row r="223" spans="1:12" x14ac:dyDescent="0.2">
      <c r="A223" t="s">
        <v>13</v>
      </c>
      <c r="B223" t="s">
        <v>298</v>
      </c>
      <c r="C223">
        <v>0.68</v>
      </c>
      <c r="D223" s="2" t="s">
        <v>6</v>
      </c>
      <c r="E223">
        <v>61.59</v>
      </c>
      <c r="F223">
        <f t="shared" si="3"/>
        <v>1.1040753369053418</v>
      </c>
      <c r="G223" t="s">
        <v>473</v>
      </c>
      <c r="H223" t="s">
        <v>473</v>
      </c>
      <c r="I223" t="s">
        <v>473</v>
      </c>
      <c r="J223" t="s">
        <v>473</v>
      </c>
      <c r="K223" t="s">
        <v>473</v>
      </c>
      <c r="L223" t="s">
        <v>473</v>
      </c>
    </row>
    <row r="224" spans="1:12" x14ac:dyDescent="0.2">
      <c r="A224" t="s">
        <v>13</v>
      </c>
      <c r="B224" t="s">
        <v>299</v>
      </c>
      <c r="C224">
        <v>0.28999999999999998</v>
      </c>
      <c r="D224" s="2" t="s">
        <v>2</v>
      </c>
      <c r="E224">
        <v>89.82</v>
      </c>
      <c r="F224">
        <f t="shared" si="3"/>
        <v>0.32286795813849922</v>
      </c>
      <c r="G224" t="s">
        <v>473</v>
      </c>
      <c r="H224" t="s">
        <v>473</v>
      </c>
      <c r="I224" t="s">
        <v>473</v>
      </c>
      <c r="J224" t="s">
        <v>473</v>
      </c>
      <c r="K224" t="s">
        <v>473</v>
      </c>
      <c r="L224" t="s">
        <v>473</v>
      </c>
    </row>
    <row r="225" spans="1:12" x14ac:dyDescent="0.2">
      <c r="A225" t="s">
        <v>13</v>
      </c>
      <c r="B225" t="s">
        <v>300</v>
      </c>
      <c r="C225">
        <v>0.05</v>
      </c>
      <c r="D225" s="2" t="s">
        <v>3</v>
      </c>
      <c r="E225">
        <v>78.55</v>
      </c>
      <c r="F225">
        <f t="shared" si="3"/>
        <v>6.3653723742838966E-2</v>
      </c>
      <c r="G225" t="s">
        <v>473</v>
      </c>
      <c r="H225" t="s">
        <v>473</v>
      </c>
      <c r="I225" t="s">
        <v>473</v>
      </c>
      <c r="J225" t="s">
        <v>473</v>
      </c>
      <c r="K225" t="s">
        <v>473</v>
      </c>
      <c r="L225" t="s">
        <v>473</v>
      </c>
    </row>
    <row r="226" spans="1:12" x14ac:dyDescent="0.2">
      <c r="A226" t="s">
        <v>13</v>
      </c>
      <c r="B226" t="s">
        <v>301</v>
      </c>
      <c r="C226">
        <v>0.28999999999999998</v>
      </c>
      <c r="D226" s="2" t="s">
        <v>3</v>
      </c>
      <c r="E226">
        <v>75.88</v>
      </c>
      <c r="F226">
        <f t="shared" si="3"/>
        <v>0.38218239325250397</v>
      </c>
      <c r="G226" t="s">
        <v>473</v>
      </c>
      <c r="H226" t="s">
        <v>473</v>
      </c>
      <c r="I226" t="s">
        <v>473</v>
      </c>
      <c r="J226" t="s">
        <v>473</v>
      </c>
      <c r="K226" t="s">
        <v>473</v>
      </c>
      <c r="L226" t="s">
        <v>473</v>
      </c>
    </row>
    <row r="227" spans="1:12" x14ac:dyDescent="0.2">
      <c r="A227" t="s">
        <v>13</v>
      </c>
      <c r="B227" t="s">
        <v>302</v>
      </c>
      <c r="C227">
        <v>0.34</v>
      </c>
      <c r="D227" s="2" t="s">
        <v>2</v>
      </c>
      <c r="E227">
        <v>87.01</v>
      </c>
      <c r="F227">
        <f t="shared" si="3"/>
        <v>0.390759682795081</v>
      </c>
      <c r="G227" t="s">
        <v>473</v>
      </c>
      <c r="H227" t="s">
        <v>473</v>
      </c>
      <c r="I227" t="s">
        <v>473</v>
      </c>
      <c r="J227" t="s">
        <v>473</v>
      </c>
      <c r="K227" t="s">
        <v>473</v>
      </c>
      <c r="L227" t="s">
        <v>473</v>
      </c>
    </row>
    <row r="228" spans="1:12" x14ac:dyDescent="0.2">
      <c r="A228" t="s">
        <v>13</v>
      </c>
      <c r="B228" t="s">
        <v>303</v>
      </c>
      <c r="C228">
        <v>0.15</v>
      </c>
      <c r="D228" s="2" t="s">
        <v>6</v>
      </c>
      <c r="E228">
        <v>92.07</v>
      </c>
      <c r="F228">
        <f t="shared" si="3"/>
        <v>0.16291951775822744</v>
      </c>
      <c r="G228" t="s">
        <v>473</v>
      </c>
      <c r="H228" t="s">
        <v>473</v>
      </c>
      <c r="I228" t="s">
        <v>473</v>
      </c>
      <c r="J228" t="s">
        <v>473</v>
      </c>
      <c r="K228" t="s">
        <v>473</v>
      </c>
      <c r="L228" t="s">
        <v>473</v>
      </c>
    </row>
    <row r="229" spans="1:12" x14ac:dyDescent="0.2">
      <c r="A229" t="s">
        <v>13</v>
      </c>
      <c r="B229" t="s">
        <v>304</v>
      </c>
      <c r="C229">
        <v>0.17</v>
      </c>
      <c r="D229" s="2" t="s">
        <v>2</v>
      </c>
      <c r="E229">
        <v>74.239999999999995</v>
      </c>
      <c r="F229">
        <f t="shared" si="3"/>
        <v>0.22898706896551727</v>
      </c>
      <c r="G229" t="s">
        <v>473</v>
      </c>
      <c r="H229" t="s">
        <v>473</v>
      </c>
      <c r="I229" t="s">
        <v>473</v>
      </c>
      <c r="J229" t="s">
        <v>473</v>
      </c>
      <c r="K229" t="s">
        <v>473</v>
      </c>
      <c r="L229" t="s">
        <v>473</v>
      </c>
    </row>
    <row r="230" spans="1:12" x14ac:dyDescent="0.2">
      <c r="A230" t="s">
        <v>13</v>
      </c>
      <c r="B230" t="s">
        <v>305</v>
      </c>
      <c r="C230">
        <v>7.0000000000000007E-2</v>
      </c>
      <c r="D230" s="2" t="s">
        <v>6</v>
      </c>
      <c r="E230">
        <v>95.8</v>
      </c>
      <c r="F230">
        <f t="shared" si="3"/>
        <v>7.3068893528183729E-2</v>
      </c>
      <c r="G230" t="s">
        <v>473</v>
      </c>
      <c r="H230" t="s">
        <v>473</v>
      </c>
      <c r="I230" t="s">
        <v>473</v>
      </c>
      <c r="J230" t="s">
        <v>473</v>
      </c>
      <c r="K230" t="s">
        <v>473</v>
      </c>
      <c r="L230" t="s">
        <v>473</v>
      </c>
    </row>
    <row r="231" spans="1:12" x14ac:dyDescent="0.2">
      <c r="A231" t="s">
        <v>13</v>
      </c>
      <c r="B231" t="s">
        <v>306</v>
      </c>
      <c r="C231">
        <v>0.18</v>
      </c>
      <c r="D231" s="2" t="s">
        <v>10</v>
      </c>
      <c r="E231">
        <v>83.19</v>
      </c>
      <c r="F231">
        <f t="shared" si="3"/>
        <v>0.21637216011539848</v>
      </c>
      <c r="G231" t="s">
        <v>473</v>
      </c>
      <c r="H231" t="s">
        <v>473</v>
      </c>
      <c r="I231" t="s">
        <v>473</v>
      </c>
      <c r="J231" t="s">
        <v>473</v>
      </c>
      <c r="K231" t="s">
        <v>473</v>
      </c>
      <c r="L231" t="s">
        <v>473</v>
      </c>
    </row>
    <row r="232" spans="1:12" x14ac:dyDescent="0.2">
      <c r="A232" t="s">
        <v>13</v>
      </c>
      <c r="B232" t="s">
        <v>307</v>
      </c>
      <c r="C232">
        <v>0.15</v>
      </c>
      <c r="D232" s="2" t="s">
        <v>5</v>
      </c>
      <c r="E232">
        <v>66.930000000000007</v>
      </c>
      <c r="F232">
        <f t="shared" si="3"/>
        <v>0.22411474675033613</v>
      </c>
      <c r="G232" t="s">
        <v>473</v>
      </c>
      <c r="H232" t="s">
        <v>473</v>
      </c>
      <c r="I232" t="s">
        <v>473</v>
      </c>
      <c r="J232" t="s">
        <v>473</v>
      </c>
      <c r="K232" t="s">
        <v>473</v>
      </c>
      <c r="L232" t="s">
        <v>473</v>
      </c>
    </row>
    <row r="233" spans="1:12" x14ac:dyDescent="0.2">
      <c r="A233" t="s">
        <v>13</v>
      </c>
      <c r="B233" t="s">
        <v>308</v>
      </c>
      <c r="C233">
        <v>0.06</v>
      </c>
      <c r="D233" s="2" t="s">
        <v>3</v>
      </c>
      <c r="E233">
        <v>73.599999999999994</v>
      </c>
      <c r="F233">
        <f t="shared" si="3"/>
        <v>8.1521739130434784E-2</v>
      </c>
      <c r="G233" t="s">
        <v>473</v>
      </c>
      <c r="H233" t="s">
        <v>473</v>
      </c>
      <c r="I233" t="s">
        <v>473</v>
      </c>
      <c r="J233" t="s">
        <v>473</v>
      </c>
      <c r="K233" t="s">
        <v>473</v>
      </c>
      <c r="L233" t="s">
        <v>473</v>
      </c>
    </row>
    <row r="234" spans="1:12" x14ac:dyDescent="0.2">
      <c r="A234" t="s">
        <v>13</v>
      </c>
      <c r="B234" t="s">
        <v>309</v>
      </c>
      <c r="C234">
        <v>0.19</v>
      </c>
      <c r="D234" s="2" t="s">
        <v>2</v>
      </c>
      <c r="E234">
        <v>94.84</v>
      </c>
      <c r="F234">
        <f t="shared" si="3"/>
        <v>0.20033741037536903</v>
      </c>
      <c r="G234" t="s">
        <v>473</v>
      </c>
      <c r="H234" t="s">
        <v>473</v>
      </c>
      <c r="I234" t="s">
        <v>473</v>
      </c>
      <c r="J234" t="s">
        <v>473</v>
      </c>
      <c r="K234" t="s">
        <v>473</v>
      </c>
      <c r="L234" t="s">
        <v>473</v>
      </c>
    </row>
    <row r="235" spans="1:12" x14ac:dyDescent="0.2">
      <c r="A235" t="s">
        <v>13</v>
      </c>
      <c r="B235" t="s">
        <v>310</v>
      </c>
      <c r="C235">
        <v>0.11</v>
      </c>
      <c r="D235" s="2" t="s">
        <v>2</v>
      </c>
      <c r="E235">
        <v>76.33</v>
      </c>
      <c r="F235">
        <f t="shared" si="3"/>
        <v>0.14411109655443469</v>
      </c>
      <c r="G235" t="s">
        <v>473</v>
      </c>
      <c r="H235" t="s">
        <v>473</v>
      </c>
      <c r="I235" t="s">
        <v>473</v>
      </c>
      <c r="J235" t="s">
        <v>473</v>
      </c>
      <c r="K235" t="s">
        <v>473</v>
      </c>
      <c r="L235" t="s">
        <v>473</v>
      </c>
    </row>
    <row r="236" spans="1:12" x14ac:dyDescent="0.2">
      <c r="A236" t="s">
        <v>13</v>
      </c>
      <c r="B236" t="s">
        <v>311</v>
      </c>
      <c r="C236">
        <v>7.0000000000000007E-2</v>
      </c>
      <c r="D236" s="2" t="s">
        <v>2</v>
      </c>
      <c r="E236">
        <v>94.88</v>
      </c>
      <c r="F236">
        <f t="shared" si="3"/>
        <v>7.3777403035413164E-2</v>
      </c>
      <c r="G236" t="s">
        <v>473</v>
      </c>
      <c r="H236" t="s">
        <v>473</v>
      </c>
      <c r="I236" t="s">
        <v>473</v>
      </c>
      <c r="J236" t="s">
        <v>473</v>
      </c>
      <c r="K236" t="s">
        <v>473</v>
      </c>
      <c r="L236" t="s">
        <v>473</v>
      </c>
    </row>
    <row r="237" spans="1:12" x14ac:dyDescent="0.2">
      <c r="A237" t="s">
        <v>13</v>
      </c>
      <c r="B237" t="s">
        <v>312</v>
      </c>
      <c r="C237">
        <v>0.08</v>
      </c>
      <c r="D237" s="2" t="s">
        <v>3</v>
      </c>
      <c r="E237">
        <v>75.09</v>
      </c>
      <c r="F237">
        <f t="shared" si="3"/>
        <v>0.10653882008256758</v>
      </c>
      <c r="G237" t="s">
        <v>473</v>
      </c>
      <c r="H237" t="s">
        <v>473</v>
      </c>
      <c r="I237" t="s">
        <v>473</v>
      </c>
      <c r="J237" t="s">
        <v>473</v>
      </c>
      <c r="K237" t="s">
        <v>473</v>
      </c>
      <c r="L237" t="s">
        <v>473</v>
      </c>
    </row>
    <row r="238" spans="1:12" x14ac:dyDescent="0.2">
      <c r="A238" t="s">
        <v>13</v>
      </c>
      <c r="B238" t="s">
        <v>313</v>
      </c>
      <c r="C238">
        <v>0.48</v>
      </c>
      <c r="D238" s="2" t="s">
        <v>2</v>
      </c>
      <c r="E238">
        <v>82.46</v>
      </c>
      <c r="F238">
        <f t="shared" si="3"/>
        <v>0.58210041232112542</v>
      </c>
      <c r="G238" t="s">
        <v>473</v>
      </c>
      <c r="H238" t="s">
        <v>473</v>
      </c>
      <c r="I238" t="s">
        <v>473</v>
      </c>
      <c r="J238" t="s">
        <v>473</v>
      </c>
      <c r="K238" t="s">
        <v>473</v>
      </c>
      <c r="L238" t="s">
        <v>473</v>
      </c>
    </row>
    <row r="239" spans="1:12" x14ac:dyDescent="0.2">
      <c r="A239" t="s">
        <v>13</v>
      </c>
      <c r="B239" t="s">
        <v>314</v>
      </c>
      <c r="C239">
        <v>0.39</v>
      </c>
      <c r="D239" s="2" t="s">
        <v>2</v>
      </c>
      <c r="E239">
        <v>79.209999999999994</v>
      </c>
      <c r="F239">
        <f t="shared" si="3"/>
        <v>0.4923620754955183</v>
      </c>
      <c r="G239" t="s">
        <v>473</v>
      </c>
      <c r="H239" t="s">
        <v>473</v>
      </c>
      <c r="I239" t="s">
        <v>473</v>
      </c>
      <c r="J239" t="s">
        <v>473</v>
      </c>
      <c r="K239" t="s">
        <v>473</v>
      </c>
      <c r="L239" t="s">
        <v>473</v>
      </c>
    </row>
    <row r="240" spans="1:12" x14ac:dyDescent="0.2">
      <c r="A240" t="s">
        <v>13</v>
      </c>
      <c r="B240" t="s">
        <v>315</v>
      </c>
      <c r="C240">
        <v>0.41</v>
      </c>
      <c r="D240" s="2" t="s">
        <v>2</v>
      </c>
      <c r="E240">
        <v>87.17</v>
      </c>
      <c r="F240">
        <f t="shared" si="3"/>
        <v>0.47034530228289545</v>
      </c>
      <c r="G240" t="s">
        <v>473</v>
      </c>
      <c r="H240" t="s">
        <v>473</v>
      </c>
      <c r="I240" t="s">
        <v>473</v>
      </c>
      <c r="J240" t="s">
        <v>473</v>
      </c>
      <c r="K240" t="s">
        <v>473</v>
      </c>
      <c r="L240" t="s">
        <v>473</v>
      </c>
    </row>
    <row r="241" spans="1:12" x14ac:dyDescent="0.2">
      <c r="A241" t="s">
        <v>13</v>
      </c>
      <c r="B241" t="s">
        <v>316</v>
      </c>
      <c r="C241">
        <v>0.21</v>
      </c>
      <c r="D241" s="2" t="s">
        <v>3</v>
      </c>
      <c r="E241">
        <v>77.3</v>
      </c>
      <c r="F241">
        <f t="shared" si="3"/>
        <v>0.27166882276843463</v>
      </c>
      <c r="G241" t="s">
        <v>473</v>
      </c>
      <c r="H241" t="s">
        <v>473</v>
      </c>
      <c r="I241" t="s">
        <v>473</v>
      </c>
      <c r="J241" t="s">
        <v>473</v>
      </c>
      <c r="K241" t="s">
        <v>473</v>
      </c>
      <c r="L241" t="s">
        <v>473</v>
      </c>
    </row>
    <row r="242" spans="1:12" x14ac:dyDescent="0.2">
      <c r="A242" t="s">
        <v>13</v>
      </c>
      <c r="B242" t="s">
        <v>317</v>
      </c>
      <c r="C242">
        <v>0.1</v>
      </c>
      <c r="D242" s="2" t="s">
        <v>3</v>
      </c>
      <c r="E242">
        <v>73.77</v>
      </c>
      <c r="F242">
        <f t="shared" si="3"/>
        <v>0.13555645926528401</v>
      </c>
      <c r="G242" t="s">
        <v>473</v>
      </c>
      <c r="H242" t="s">
        <v>473</v>
      </c>
      <c r="I242" t="s">
        <v>473</v>
      </c>
      <c r="J242" t="s">
        <v>473</v>
      </c>
      <c r="K242" t="s">
        <v>473</v>
      </c>
      <c r="L242" t="s">
        <v>473</v>
      </c>
    </row>
    <row r="243" spans="1:12" x14ac:dyDescent="0.2">
      <c r="A243" t="s">
        <v>13</v>
      </c>
      <c r="B243" t="s">
        <v>318</v>
      </c>
      <c r="C243">
        <v>0.31</v>
      </c>
      <c r="D243" s="2" t="s">
        <v>3</v>
      </c>
      <c r="E243">
        <v>82</v>
      </c>
      <c r="F243">
        <f t="shared" si="3"/>
        <v>0.37804878048780488</v>
      </c>
      <c r="G243" t="s">
        <v>473</v>
      </c>
      <c r="H243" t="s">
        <v>473</v>
      </c>
      <c r="I243" t="s">
        <v>473</v>
      </c>
      <c r="J243" t="s">
        <v>473</v>
      </c>
      <c r="K243" t="s">
        <v>473</v>
      </c>
      <c r="L243" t="s">
        <v>473</v>
      </c>
    </row>
    <row r="244" spans="1:12" x14ac:dyDescent="0.2">
      <c r="A244" t="s">
        <v>13</v>
      </c>
      <c r="B244" t="s">
        <v>319</v>
      </c>
      <c r="C244">
        <v>0.14000000000000001</v>
      </c>
      <c r="D244" s="2" t="s">
        <v>2</v>
      </c>
      <c r="E244">
        <v>71.599999999999994</v>
      </c>
      <c r="F244">
        <f t="shared" si="3"/>
        <v>0.19553072625698326</v>
      </c>
      <c r="G244" t="s">
        <v>473</v>
      </c>
      <c r="H244" t="s">
        <v>473</v>
      </c>
      <c r="I244" t="s">
        <v>473</v>
      </c>
      <c r="J244" t="s">
        <v>473</v>
      </c>
      <c r="K244" t="s">
        <v>473</v>
      </c>
      <c r="L244" t="s">
        <v>473</v>
      </c>
    </row>
    <row r="245" spans="1:12" x14ac:dyDescent="0.2">
      <c r="A245" t="s">
        <v>13</v>
      </c>
      <c r="B245" t="s">
        <v>320</v>
      </c>
      <c r="C245">
        <v>0.36</v>
      </c>
      <c r="D245" s="2" t="s">
        <v>5</v>
      </c>
      <c r="E245">
        <v>55.21</v>
      </c>
      <c r="F245">
        <f t="shared" si="3"/>
        <v>0.65205578699510947</v>
      </c>
      <c r="G245" t="s">
        <v>473</v>
      </c>
      <c r="H245" t="s">
        <v>473</v>
      </c>
      <c r="I245" t="s">
        <v>473</v>
      </c>
      <c r="J245" t="s">
        <v>473</v>
      </c>
      <c r="K245" t="s">
        <v>473</v>
      </c>
      <c r="L245" t="s">
        <v>473</v>
      </c>
    </row>
    <row r="246" spans="1:12" x14ac:dyDescent="0.2">
      <c r="A246" t="s">
        <v>13</v>
      </c>
      <c r="B246" t="s">
        <v>321</v>
      </c>
      <c r="C246">
        <v>1.29</v>
      </c>
      <c r="D246" s="2" t="s">
        <v>6</v>
      </c>
      <c r="E246">
        <v>72.599999999999994</v>
      </c>
      <c r="F246">
        <f t="shared" si="3"/>
        <v>1.7768595041322315</v>
      </c>
      <c r="G246" t="s">
        <v>473</v>
      </c>
      <c r="H246" t="s">
        <v>473</v>
      </c>
      <c r="I246" t="s">
        <v>473</v>
      </c>
      <c r="J246" t="s">
        <v>473</v>
      </c>
      <c r="K246" t="s">
        <v>473</v>
      </c>
      <c r="L246" t="s">
        <v>473</v>
      </c>
    </row>
    <row r="247" spans="1:12" x14ac:dyDescent="0.2">
      <c r="A247" t="s">
        <v>13</v>
      </c>
      <c r="B247" t="s">
        <v>322</v>
      </c>
      <c r="C247">
        <v>0.24</v>
      </c>
      <c r="D247" s="2" t="s">
        <v>3</v>
      </c>
      <c r="E247">
        <v>47.7</v>
      </c>
      <c r="F247">
        <f t="shared" si="3"/>
        <v>0.50314465408805031</v>
      </c>
      <c r="G247" t="s">
        <v>473</v>
      </c>
      <c r="H247" t="s">
        <v>473</v>
      </c>
      <c r="I247" t="s">
        <v>473</v>
      </c>
      <c r="J247" t="s">
        <v>473</v>
      </c>
      <c r="K247" t="s">
        <v>473</v>
      </c>
      <c r="L247" t="s">
        <v>473</v>
      </c>
    </row>
    <row r="248" spans="1:12" x14ac:dyDescent="0.2">
      <c r="A248" t="s">
        <v>13</v>
      </c>
      <c r="B248" t="s">
        <v>323</v>
      </c>
      <c r="C248">
        <v>0.1</v>
      </c>
      <c r="D248" s="2" t="s">
        <v>2</v>
      </c>
      <c r="E248">
        <v>87.99</v>
      </c>
      <c r="F248">
        <f t="shared" si="3"/>
        <v>0.11364927832708265</v>
      </c>
      <c r="G248" t="s">
        <v>473</v>
      </c>
      <c r="H248" t="s">
        <v>473</v>
      </c>
      <c r="I248" t="s">
        <v>473</v>
      </c>
      <c r="J248" t="s">
        <v>473</v>
      </c>
      <c r="K248" t="s">
        <v>473</v>
      </c>
      <c r="L248" t="s">
        <v>473</v>
      </c>
    </row>
    <row r="249" spans="1:12" x14ac:dyDescent="0.2">
      <c r="A249" t="s">
        <v>13</v>
      </c>
      <c r="B249" t="s">
        <v>324</v>
      </c>
      <c r="C249">
        <v>0.11</v>
      </c>
      <c r="D249" s="2" t="s">
        <v>2</v>
      </c>
      <c r="E249">
        <v>80.7</v>
      </c>
      <c r="F249">
        <f t="shared" si="3"/>
        <v>0.13630731102850061</v>
      </c>
      <c r="G249" t="s">
        <v>473</v>
      </c>
      <c r="H249" t="s">
        <v>473</v>
      </c>
      <c r="I249" t="s">
        <v>473</v>
      </c>
      <c r="J249" t="s">
        <v>473</v>
      </c>
      <c r="K249" t="s">
        <v>473</v>
      </c>
      <c r="L249" t="s">
        <v>473</v>
      </c>
    </row>
    <row r="250" spans="1:12" x14ac:dyDescent="0.2">
      <c r="A250" t="s">
        <v>13</v>
      </c>
      <c r="B250" t="s">
        <v>325</v>
      </c>
      <c r="C250">
        <v>0.33</v>
      </c>
      <c r="D250" s="2" t="s">
        <v>2</v>
      </c>
      <c r="E250">
        <v>85.99</v>
      </c>
      <c r="F250">
        <f t="shared" si="3"/>
        <v>0.38376555413420166</v>
      </c>
      <c r="G250" t="s">
        <v>473</v>
      </c>
      <c r="H250" t="s">
        <v>473</v>
      </c>
      <c r="I250" t="s">
        <v>473</v>
      </c>
      <c r="J250" t="s">
        <v>473</v>
      </c>
      <c r="K250" t="s">
        <v>473</v>
      </c>
      <c r="L250" t="s">
        <v>473</v>
      </c>
    </row>
    <row r="251" spans="1:12" x14ac:dyDescent="0.2">
      <c r="A251" t="s">
        <v>13</v>
      </c>
      <c r="B251" t="s">
        <v>326</v>
      </c>
      <c r="C251">
        <v>0.15</v>
      </c>
      <c r="D251" s="2" t="s">
        <v>3</v>
      </c>
      <c r="E251">
        <v>95.93</v>
      </c>
      <c r="F251">
        <f t="shared" si="3"/>
        <v>0.15636401542791617</v>
      </c>
      <c r="G251" t="s">
        <v>473</v>
      </c>
      <c r="H251" t="s">
        <v>473</v>
      </c>
      <c r="I251" t="s">
        <v>473</v>
      </c>
      <c r="J251" t="s">
        <v>473</v>
      </c>
      <c r="K251" t="s">
        <v>473</v>
      </c>
      <c r="L251" t="s">
        <v>473</v>
      </c>
    </row>
    <row r="252" spans="1:12" x14ac:dyDescent="0.2">
      <c r="A252" t="s">
        <v>13</v>
      </c>
      <c r="B252" t="s">
        <v>327</v>
      </c>
      <c r="C252">
        <v>0.2</v>
      </c>
      <c r="D252" s="2" t="s">
        <v>3</v>
      </c>
      <c r="E252">
        <v>72.099999999999994</v>
      </c>
      <c r="F252">
        <f t="shared" si="3"/>
        <v>0.27739251040221918</v>
      </c>
      <c r="G252" t="s">
        <v>473</v>
      </c>
      <c r="H252" t="s">
        <v>473</v>
      </c>
      <c r="I252" t="s">
        <v>473</v>
      </c>
      <c r="J252" t="s">
        <v>473</v>
      </c>
      <c r="K252" t="s">
        <v>473</v>
      </c>
      <c r="L252" t="s">
        <v>473</v>
      </c>
    </row>
    <row r="253" spans="1:12" x14ac:dyDescent="0.2">
      <c r="A253" t="s">
        <v>13</v>
      </c>
      <c r="B253" t="s">
        <v>328</v>
      </c>
      <c r="C253">
        <v>0.76</v>
      </c>
      <c r="D253" s="2" t="s">
        <v>2</v>
      </c>
      <c r="E253">
        <v>85.88</v>
      </c>
      <c r="F253">
        <f t="shared" si="3"/>
        <v>0.88495575221238942</v>
      </c>
      <c r="G253" t="s">
        <v>473</v>
      </c>
      <c r="H253" t="s">
        <v>473</v>
      </c>
      <c r="I253" t="s">
        <v>473</v>
      </c>
      <c r="J253" t="s">
        <v>473</v>
      </c>
      <c r="K253" t="s">
        <v>473</v>
      </c>
      <c r="L253" t="s">
        <v>473</v>
      </c>
    </row>
    <row r="254" spans="1:12" x14ac:dyDescent="0.2">
      <c r="A254" t="s">
        <v>13</v>
      </c>
      <c r="B254" t="s">
        <v>329</v>
      </c>
      <c r="C254">
        <v>1.85</v>
      </c>
      <c r="D254" s="2" t="s">
        <v>2</v>
      </c>
      <c r="E254">
        <v>86.9</v>
      </c>
      <c r="F254">
        <f t="shared" si="3"/>
        <v>2.1288837744533944</v>
      </c>
      <c r="G254" t="s">
        <v>473</v>
      </c>
      <c r="H254" t="s">
        <v>473</v>
      </c>
      <c r="I254" t="s">
        <v>473</v>
      </c>
      <c r="J254" t="s">
        <v>473</v>
      </c>
      <c r="K254" t="s">
        <v>473</v>
      </c>
      <c r="L254" t="s">
        <v>473</v>
      </c>
    </row>
    <row r="255" spans="1:12" x14ac:dyDescent="0.2">
      <c r="A255" t="s">
        <v>13</v>
      </c>
      <c r="B255" t="s">
        <v>330</v>
      </c>
      <c r="C255">
        <v>0.17</v>
      </c>
      <c r="D255" s="2" t="s">
        <v>3</v>
      </c>
      <c r="E255">
        <v>93.29</v>
      </c>
      <c r="F255">
        <f t="shared" si="3"/>
        <v>0.18222746275056276</v>
      </c>
      <c r="G255" t="s">
        <v>473</v>
      </c>
      <c r="H255" t="s">
        <v>473</v>
      </c>
      <c r="I255" t="s">
        <v>473</v>
      </c>
      <c r="J255" t="s">
        <v>473</v>
      </c>
      <c r="K255" t="s">
        <v>473</v>
      </c>
      <c r="L255" t="s">
        <v>473</v>
      </c>
    </row>
    <row r="256" spans="1:12" x14ac:dyDescent="0.2">
      <c r="A256" t="s">
        <v>13</v>
      </c>
      <c r="B256" t="s">
        <v>331</v>
      </c>
      <c r="C256">
        <v>0.3</v>
      </c>
      <c r="D256" s="2" t="s">
        <v>2</v>
      </c>
      <c r="E256">
        <v>94.78</v>
      </c>
      <c r="F256">
        <f t="shared" si="3"/>
        <v>0.31652247309558978</v>
      </c>
      <c r="G256" t="s">
        <v>473</v>
      </c>
      <c r="H256" t="s">
        <v>473</v>
      </c>
      <c r="I256" t="s">
        <v>473</v>
      </c>
      <c r="J256" t="s">
        <v>473</v>
      </c>
      <c r="K256" t="s">
        <v>473</v>
      </c>
      <c r="L256" t="s">
        <v>473</v>
      </c>
    </row>
    <row r="257" spans="1:12" x14ac:dyDescent="0.2">
      <c r="A257" t="s">
        <v>13</v>
      </c>
      <c r="B257" t="s">
        <v>332</v>
      </c>
      <c r="C257">
        <v>0.34</v>
      </c>
      <c r="D257" s="2" t="s">
        <v>2</v>
      </c>
      <c r="E257">
        <v>88.2</v>
      </c>
      <c r="F257">
        <f t="shared" si="3"/>
        <v>0.3854875283446712</v>
      </c>
      <c r="G257" t="s">
        <v>473</v>
      </c>
      <c r="H257" t="s">
        <v>473</v>
      </c>
      <c r="I257" t="s">
        <v>473</v>
      </c>
      <c r="J257" t="s">
        <v>473</v>
      </c>
      <c r="K257" t="s">
        <v>473</v>
      </c>
      <c r="L257" t="s">
        <v>473</v>
      </c>
    </row>
    <row r="258" spans="1:12" x14ac:dyDescent="0.2">
      <c r="A258" t="s">
        <v>13</v>
      </c>
      <c r="B258" t="s">
        <v>333</v>
      </c>
      <c r="C258">
        <v>0.22</v>
      </c>
      <c r="D258" s="2" t="s">
        <v>3</v>
      </c>
      <c r="E258">
        <v>37.630000000000003</v>
      </c>
      <c r="F258">
        <f t="shared" ref="F258:F321" si="4">C258/(E258/100)</f>
        <v>0.58463991496146683</v>
      </c>
      <c r="G258" t="s">
        <v>473</v>
      </c>
      <c r="H258" t="s">
        <v>473</v>
      </c>
      <c r="I258" t="s">
        <v>473</v>
      </c>
      <c r="J258" t="s">
        <v>473</v>
      </c>
      <c r="K258" t="s">
        <v>473</v>
      </c>
      <c r="L258" t="s">
        <v>473</v>
      </c>
    </row>
    <row r="259" spans="1:12" x14ac:dyDescent="0.2">
      <c r="A259" t="s">
        <v>13</v>
      </c>
      <c r="B259" t="s">
        <v>334</v>
      </c>
      <c r="C259">
        <v>0.63</v>
      </c>
      <c r="D259" s="2" t="s">
        <v>2</v>
      </c>
      <c r="E259">
        <v>83.92</v>
      </c>
      <c r="F259">
        <f t="shared" si="4"/>
        <v>0.75071496663489035</v>
      </c>
      <c r="G259" t="s">
        <v>473</v>
      </c>
      <c r="H259" t="s">
        <v>473</v>
      </c>
      <c r="I259" t="s">
        <v>473</v>
      </c>
      <c r="J259" t="s">
        <v>473</v>
      </c>
      <c r="K259" t="s">
        <v>473</v>
      </c>
      <c r="L259" t="s">
        <v>473</v>
      </c>
    </row>
    <row r="260" spans="1:12" x14ac:dyDescent="0.2">
      <c r="A260" t="s">
        <v>13</v>
      </c>
      <c r="B260" t="s">
        <v>335</v>
      </c>
      <c r="C260">
        <v>0.33</v>
      </c>
      <c r="D260" s="2" t="s">
        <v>2</v>
      </c>
      <c r="E260">
        <v>90.73</v>
      </c>
      <c r="F260">
        <f t="shared" si="4"/>
        <v>0.36371652154744849</v>
      </c>
      <c r="G260" t="s">
        <v>473</v>
      </c>
      <c r="H260" t="s">
        <v>473</v>
      </c>
      <c r="I260" t="s">
        <v>473</v>
      </c>
      <c r="J260" t="s">
        <v>473</v>
      </c>
      <c r="K260" t="s">
        <v>473</v>
      </c>
      <c r="L260" t="s">
        <v>473</v>
      </c>
    </row>
    <row r="261" spans="1:12" x14ac:dyDescent="0.2">
      <c r="A261" t="s">
        <v>13</v>
      </c>
      <c r="B261" t="s">
        <v>336</v>
      </c>
      <c r="C261">
        <v>0.08</v>
      </c>
      <c r="D261" s="2" t="s">
        <v>3</v>
      </c>
      <c r="E261">
        <v>89.55</v>
      </c>
      <c r="F261">
        <f t="shared" si="4"/>
        <v>8.9335566722501397E-2</v>
      </c>
      <c r="G261" t="s">
        <v>473</v>
      </c>
      <c r="H261" t="s">
        <v>473</v>
      </c>
      <c r="I261" t="s">
        <v>473</v>
      </c>
      <c r="J261" t="s">
        <v>473</v>
      </c>
      <c r="K261" t="s">
        <v>473</v>
      </c>
      <c r="L261" t="s">
        <v>473</v>
      </c>
    </row>
    <row r="262" spans="1:12" x14ac:dyDescent="0.2">
      <c r="A262" t="s">
        <v>13</v>
      </c>
      <c r="B262" t="s">
        <v>337</v>
      </c>
      <c r="C262">
        <v>0.91</v>
      </c>
      <c r="D262" s="2" t="s">
        <v>2</v>
      </c>
      <c r="E262">
        <v>94.02</v>
      </c>
      <c r="F262">
        <f t="shared" si="4"/>
        <v>0.967879174643693</v>
      </c>
      <c r="G262" t="s">
        <v>473</v>
      </c>
      <c r="H262" t="s">
        <v>473</v>
      </c>
      <c r="I262" t="s">
        <v>473</v>
      </c>
      <c r="J262" t="s">
        <v>473</v>
      </c>
      <c r="K262" t="s">
        <v>473</v>
      </c>
      <c r="L262" t="s">
        <v>473</v>
      </c>
    </row>
    <row r="263" spans="1:12" x14ac:dyDescent="0.2">
      <c r="A263" t="s">
        <v>13</v>
      </c>
      <c r="B263" t="s">
        <v>338</v>
      </c>
      <c r="C263">
        <v>0.16</v>
      </c>
      <c r="D263" s="2" t="s">
        <v>3</v>
      </c>
      <c r="E263">
        <v>83.37</v>
      </c>
      <c r="F263">
        <f t="shared" si="4"/>
        <v>0.19191555715485187</v>
      </c>
      <c r="G263" t="s">
        <v>473</v>
      </c>
      <c r="H263" t="s">
        <v>473</v>
      </c>
      <c r="I263" t="s">
        <v>473</v>
      </c>
      <c r="J263" t="s">
        <v>473</v>
      </c>
      <c r="K263" t="s">
        <v>473</v>
      </c>
      <c r="L263" t="s">
        <v>473</v>
      </c>
    </row>
    <row r="264" spans="1:12" x14ac:dyDescent="0.2">
      <c r="A264" t="s">
        <v>13</v>
      </c>
      <c r="B264" t="s">
        <v>339</v>
      </c>
      <c r="C264">
        <v>0.87</v>
      </c>
      <c r="D264" s="2" t="s">
        <v>2</v>
      </c>
      <c r="E264">
        <v>91.73</v>
      </c>
      <c r="F264">
        <f t="shared" si="4"/>
        <v>0.94843562629456013</v>
      </c>
      <c r="G264" t="s">
        <v>473</v>
      </c>
      <c r="H264" t="s">
        <v>473</v>
      </c>
      <c r="I264" t="s">
        <v>473</v>
      </c>
      <c r="J264" t="s">
        <v>473</v>
      </c>
      <c r="K264" t="s">
        <v>473</v>
      </c>
      <c r="L264" t="s">
        <v>473</v>
      </c>
    </row>
    <row r="265" spans="1:12" x14ac:dyDescent="0.2">
      <c r="A265" t="s">
        <v>13</v>
      </c>
      <c r="B265" t="s">
        <v>340</v>
      </c>
      <c r="C265">
        <v>0.3</v>
      </c>
      <c r="D265" s="2" t="s">
        <v>2</v>
      </c>
      <c r="E265">
        <v>86.17</v>
      </c>
      <c r="F265">
        <f t="shared" si="4"/>
        <v>0.34814900777532781</v>
      </c>
      <c r="G265" t="s">
        <v>473</v>
      </c>
      <c r="H265" t="s">
        <v>473</v>
      </c>
      <c r="I265" t="s">
        <v>473</v>
      </c>
      <c r="J265" t="s">
        <v>473</v>
      </c>
      <c r="K265" t="s">
        <v>473</v>
      </c>
      <c r="L265" t="s">
        <v>473</v>
      </c>
    </row>
    <row r="266" spans="1:12" x14ac:dyDescent="0.2">
      <c r="A266" t="s">
        <v>13</v>
      </c>
      <c r="B266" t="s">
        <v>341</v>
      </c>
      <c r="C266">
        <v>0.23</v>
      </c>
      <c r="D266" s="2" t="s">
        <v>5</v>
      </c>
      <c r="E266">
        <v>79.73</v>
      </c>
      <c r="F266">
        <f t="shared" si="4"/>
        <v>0.2884735983945817</v>
      </c>
      <c r="G266" t="s">
        <v>473</v>
      </c>
      <c r="H266" t="s">
        <v>473</v>
      </c>
      <c r="I266" t="s">
        <v>473</v>
      </c>
      <c r="J266" t="s">
        <v>473</v>
      </c>
      <c r="K266" t="s">
        <v>473</v>
      </c>
      <c r="L266" t="s">
        <v>473</v>
      </c>
    </row>
    <row r="267" spans="1:12" x14ac:dyDescent="0.2">
      <c r="A267" t="s">
        <v>13</v>
      </c>
      <c r="B267" t="s">
        <v>342</v>
      </c>
      <c r="C267">
        <v>0.23</v>
      </c>
      <c r="D267" s="2" t="s">
        <v>5</v>
      </c>
      <c r="E267">
        <v>80.349999999999994</v>
      </c>
      <c r="F267">
        <f t="shared" si="4"/>
        <v>0.28624766645924082</v>
      </c>
      <c r="G267" t="s">
        <v>473</v>
      </c>
      <c r="H267" t="s">
        <v>473</v>
      </c>
      <c r="I267" t="s">
        <v>473</v>
      </c>
      <c r="J267" t="s">
        <v>473</v>
      </c>
      <c r="K267" t="s">
        <v>473</v>
      </c>
      <c r="L267" t="s">
        <v>473</v>
      </c>
    </row>
    <row r="268" spans="1:12" x14ac:dyDescent="0.2">
      <c r="A268" t="s">
        <v>13</v>
      </c>
      <c r="B268" t="s">
        <v>343</v>
      </c>
      <c r="C268">
        <v>0.19</v>
      </c>
      <c r="D268" s="2" t="s">
        <v>2</v>
      </c>
      <c r="E268">
        <v>70.72</v>
      </c>
      <c r="F268">
        <f t="shared" si="4"/>
        <v>0.26866515837104077</v>
      </c>
      <c r="G268" t="s">
        <v>473</v>
      </c>
      <c r="H268" t="s">
        <v>473</v>
      </c>
      <c r="I268" t="s">
        <v>473</v>
      </c>
      <c r="J268" t="s">
        <v>473</v>
      </c>
      <c r="K268" t="s">
        <v>473</v>
      </c>
      <c r="L268" t="s">
        <v>473</v>
      </c>
    </row>
    <row r="269" spans="1:12" x14ac:dyDescent="0.2">
      <c r="A269" t="s">
        <v>13</v>
      </c>
      <c r="B269" t="s">
        <v>344</v>
      </c>
      <c r="C269">
        <v>0.13</v>
      </c>
      <c r="D269" s="2" t="s">
        <v>3</v>
      </c>
      <c r="E269">
        <v>96.89</v>
      </c>
      <c r="F269">
        <f t="shared" si="4"/>
        <v>0.13417277324801322</v>
      </c>
      <c r="G269" t="s">
        <v>473</v>
      </c>
      <c r="H269" t="s">
        <v>473</v>
      </c>
      <c r="I269" t="s">
        <v>473</v>
      </c>
      <c r="J269" t="s">
        <v>473</v>
      </c>
      <c r="K269" t="s">
        <v>473</v>
      </c>
      <c r="L269" t="s">
        <v>473</v>
      </c>
    </row>
    <row r="270" spans="1:12" x14ac:dyDescent="0.2">
      <c r="A270" t="s">
        <v>13</v>
      </c>
      <c r="B270" t="s">
        <v>345</v>
      </c>
      <c r="C270">
        <v>0.13</v>
      </c>
      <c r="D270" s="2" t="s">
        <v>3</v>
      </c>
      <c r="E270">
        <v>81.459999999999994</v>
      </c>
      <c r="F270">
        <f t="shared" si="4"/>
        <v>0.15958752762091824</v>
      </c>
      <c r="G270" t="s">
        <v>473</v>
      </c>
      <c r="H270" t="s">
        <v>473</v>
      </c>
      <c r="I270" t="s">
        <v>473</v>
      </c>
      <c r="J270" t="s">
        <v>473</v>
      </c>
      <c r="K270" t="s">
        <v>473</v>
      </c>
      <c r="L270" t="s">
        <v>473</v>
      </c>
    </row>
    <row r="271" spans="1:12" x14ac:dyDescent="0.2">
      <c r="A271" t="s">
        <v>13</v>
      </c>
      <c r="B271" t="s">
        <v>346</v>
      </c>
      <c r="C271">
        <v>0.83</v>
      </c>
      <c r="D271" s="2" t="s">
        <v>2</v>
      </c>
      <c r="E271">
        <v>75.849999999999994</v>
      </c>
      <c r="F271">
        <f t="shared" si="4"/>
        <v>1.0942649967040212</v>
      </c>
      <c r="G271" t="s">
        <v>473</v>
      </c>
      <c r="H271" t="s">
        <v>473</v>
      </c>
      <c r="I271" t="s">
        <v>473</v>
      </c>
      <c r="J271" t="s">
        <v>473</v>
      </c>
      <c r="K271" t="s">
        <v>473</v>
      </c>
      <c r="L271" t="s">
        <v>473</v>
      </c>
    </row>
    <row r="272" spans="1:12" x14ac:dyDescent="0.2">
      <c r="A272" t="s">
        <v>13</v>
      </c>
      <c r="B272" t="s">
        <v>347</v>
      </c>
      <c r="C272">
        <v>0.38</v>
      </c>
      <c r="D272" s="2" t="s">
        <v>2</v>
      </c>
      <c r="E272">
        <v>82.12</v>
      </c>
      <c r="F272">
        <f t="shared" si="4"/>
        <v>0.46273745737944472</v>
      </c>
      <c r="G272" t="s">
        <v>473</v>
      </c>
      <c r="H272" t="s">
        <v>473</v>
      </c>
      <c r="I272" t="s">
        <v>473</v>
      </c>
      <c r="J272" t="s">
        <v>473</v>
      </c>
      <c r="K272" t="s">
        <v>473</v>
      </c>
      <c r="L272" t="s">
        <v>473</v>
      </c>
    </row>
    <row r="273" spans="1:12" x14ac:dyDescent="0.2">
      <c r="A273" t="s">
        <v>13</v>
      </c>
      <c r="B273" t="s">
        <v>348</v>
      </c>
      <c r="C273">
        <v>0.67</v>
      </c>
      <c r="D273" s="2" t="s">
        <v>2</v>
      </c>
      <c r="E273">
        <v>88.53</v>
      </c>
      <c r="F273">
        <f t="shared" si="4"/>
        <v>0.75680560262058061</v>
      </c>
      <c r="G273" t="s">
        <v>473</v>
      </c>
      <c r="H273" t="s">
        <v>473</v>
      </c>
      <c r="I273" t="s">
        <v>473</v>
      </c>
      <c r="J273" t="s">
        <v>473</v>
      </c>
      <c r="K273" t="s">
        <v>473</v>
      </c>
      <c r="L273" t="s">
        <v>473</v>
      </c>
    </row>
    <row r="274" spans="1:12" x14ac:dyDescent="0.2">
      <c r="A274" t="s">
        <v>13</v>
      </c>
      <c r="B274" t="s">
        <v>349</v>
      </c>
      <c r="C274">
        <v>0.46</v>
      </c>
      <c r="D274" s="2" t="s">
        <v>2</v>
      </c>
      <c r="E274">
        <v>91.06</v>
      </c>
      <c r="F274">
        <f t="shared" si="4"/>
        <v>0.50516143202284203</v>
      </c>
      <c r="G274" t="s">
        <v>473</v>
      </c>
      <c r="H274" t="s">
        <v>473</v>
      </c>
      <c r="I274" t="s">
        <v>473</v>
      </c>
      <c r="J274" t="s">
        <v>473</v>
      </c>
      <c r="K274" t="s">
        <v>473</v>
      </c>
      <c r="L274" t="s">
        <v>473</v>
      </c>
    </row>
    <row r="275" spans="1:12" x14ac:dyDescent="0.2">
      <c r="A275" t="s">
        <v>13</v>
      </c>
      <c r="B275" t="s">
        <v>350</v>
      </c>
      <c r="C275">
        <v>0.19</v>
      </c>
      <c r="D275" s="2" t="s">
        <v>5</v>
      </c>
      <c r="E275">
        <v>92.48</v>
      </c>
      <c r="F275">
        <f t="shared" si="4"/>
        <v>0.20544982698961936</v>
      </c>
      <c r="G275" t="s">
        <v>473</v>
      </c>
      <c r="H275" t="s">
        <v>473</v>
      </c>
      <c r="I275" t="s">
        <v>473</v>
      </c>
      <c r="J275" t="s">
        <v>473</v>
      </c>
      <c r="K275" t="s">
        <v>473</v>
      </c>
      <c r="L275" t="s">
        <v>473</v>
      </c>
    </row>
    <row r="276" spans="1:12" x14ac:dyDescent="0.2">
      <c r="A276" t="s">
        <v>13</v>
      </c>
      <c r="B276" t="s">
        <v>351</v>
      </c>
      <c r="C276">
        <v>0.14000000000000001</v>
      </c>
      <c r="D276" s="2" t="s">
        <v>3</v>
      </c>
      <c r="E276">
        <v>97.01</v>
      </c>
      <c r="F276">
        <f t="shared" si="4"/>
        <v>0.14431501907019895</v>
      </c>
      <c r="G276" t="s">
        <v>473</v>
      </c>
      <c r="H276" t="s">
        <v>473</v>
      </c>
      <c r="I276" t="s">
        <v>473</v>
      </c>
      <c r="J276" t="s">
        <v>473</v>
      </c>
      <c r="K276" t="s">
        <v>473</v>
      </c>
      <c r="L276" t="s">
        <v>473</v>
      </c>
    </row>
    <row r="277" spans="1:12" x14ac:dyDescent="0.2">
      <c r="A277" t="s">
        <v>13</v>
      </c>
      <c r="B277" t="s">
        <v>352</v>
      </c>
      <c r="C277">
        <v>0.18</v>
      </c>
      <c r="D277" s="2" t="s">
        <v>2</v>
      </c>
      <c r="E277">
        <v>89.08</v>
      </c>
      <c r="F277">
        <f t="shared" si="4"/>
        <v>0.20206555904804668</v>
      </c>
      <c r="G277" t="s">
        <v>473</v>
      </c>
      <c r="H277" t="s">
        <v>473</v>
      </c>
      <c r="I277" t="s">
        <v>473</v>
      </c>
      <c r="J277" t="s">
        <v>473</v>
      </c>
      <c r="K277" t="s">
        <v>473</v>
      </c>
      <c r="L277" t="s">
        <v>473</v>
      </c>
    </row>
    <row r="278" spans="1:12" x14ac:dyDescent="0.2">
      <c r="A278" t="s">
        <v>13</v>
      </c>
      <c r="B278" t="s">
        <v>353</v>
      </c>
      <c r="C278">
        <v>0.22</v>
      </c>
      <c r="D278" s="2" t="s">
        <v>2</v>
      </c>
      <c r="E278">
        <v>96.75</v>
      </c>
      <c r="F278">
        <f t="shared" si="4"/>
        <v>0.22739018087855298</v>
      </c>
      <c r="G278" t="s">
        <v>473</v>
      </c>
      <c r="H278" t="s">
        <v>473</v>
      </c>
      <c r="I278" t="s">
        <v>473</v>
      </c>
      <c r="J278" t="s">
        <v>473</v>
      </c>
      <c r="K278" t="s">
        <v>473</v>
      </c>
      <c r="L278" t="s">
        <v>473</v>
      </c>
    </row>
    <row r="279" spans="1:12" x14ac:dyDescent="0.2">
      <c r="A279" t="s">
        <v>13</v>
      </c>
      <c r="B279" t="s">
        <v>354</v>
      </c>
      <c r="C279">
        <v>0.23</v>
      </c>
      <c r="D279" s="2" t="s">
        <v>6</v>
      </c>
      <c r="E279">
        <v>93.85</v>
      </c>
      <c r="F279">
        <f t="shared" si="4"/>
        <v>0.24507192328183275</v>
      </c>
      <c r="G279" t="s">
        <v>473</v>
      </c>
      <c r="H279" t="s">
        <v>473</v>
      </c>
      <c r="I279" t="s">
        <v>473</v>
      </c>
      <c r="J279" t="s">
        <v>473</v>
      </c>
      <c r="K279" t="s">
        <v>473</v>
      </c>
      <c r="L279" t="s">
        <v>473</v>
      </c>
    </row>
    <row r="280" spans="1:12" x14ac:dyDescent="0.2">
      <c r="A280" t="s">
        <v>13</v>
      </c>
      <c r="B280" t="s">
        <v>355</v>
      </c>
      <c r="C280">
        <v>0.34</v>
      </c>
      <c r="D280" s="2" t="s">
        <v>2</v>
      </c>
      <c r="E280">
        <v>91.05</v>
      </c>
      <c r="F280">
        <f t="shared" si="4"/>
        <v>0.37342119714442618</v>
      </c>
      <c r="G280" t="s">
        <v>473</v>
      </c>
      <c r="H280" t="s">
        <v>473</v>
      </c>
      <c r="I280" t="s">
        <v>473</v>
      </c>
      <c r="J280" t="s">
        <v>473</v>
      </c>
      <c r="K280" t="s">
        <v>473</v>
      </c>
      <c r="L280" t="s">
        <v>473</v>
      </c>
    </row>
    <row r="281" spans="1:12" x14ac:dyDescent="0.2">
      <c r="A281" t="s">
        <v>13</v>
      </c>
      <c r="B281" t="s">
        <v>356</v>
      </c>
      <c r="C281">
        <v>0.38</v>
      </c>
      <c r="D281" s="2" t="s">
        <v>2</v>
      </c>
      <c r="E281">
        <v>83.81</v>
      </c>
      <c r="F281">
        <f t="shared" si="4"/>
        <v>0.4534065147357117</v>
      </c>
      <c r="G281" t="s">
        <v>473</v>
      </c>
      <c r="H281" t="s">
        <v>473</v>
      </c>
      <c r="I281" t="s">
        <v>473</v>
      </c>
      <c r="J281" t="s">
        <v>473</v>
      </c>
      <c r="K281" t="s">
        <v>473</v>
      </c>
      <c r="L281" t="s">
        <v>473</v>
      </c>
    </row>
    <row r="282" spans="1:12" x14ac:dyDescent="0.2">
      <c r="A282" t="s">
        <v>13</v>
      </c>
      <c r="B282" t="s">
        <v>357</v>
      </c>
      <c r="C282">
        <v>0.33</v>
      </c>
      <c r="D282" s="2" t="s">
        <v>2</v>
      </c>
      <c r="E282">
        <v>89.08</v>
      </c>
      <c r="F282">
        <f t="shared" si="4"/>
        <v>0.37045352492141898</v>
      </c>
      <c r="G282" t="s">
        <v>473</v>
      </c>
      <c r="H282" t="s">
        <v>473</v>
      </c>
      <c r="I282" t="s">
        <v>473</v>
      </c>
      <c r="J282" t="s">
        <v>473</v>
      </c>
      <c r="K282" t="s">
        <v>473</v>
      </c>
      <c r="L282" t="s">
        <v>473</v>
      </c>
    </row>
    <row r="283" spans="1:12" x14ac:dyDescent="0.2">
      <c r="A283" t="s">
        <v>13</v>
      </c>
      <c r="B283" t="s">
        <v>358</v>
      </c>
      <c r="C283">
        <v>0.22</v>
      </c>
      <c r="D283" s="2" t="s">
        <v>2</v>
      </c>
      <c r="E283">
        <v>68.91</v>
      </c>
      <c r="F283">
        <f t="shared" si="4"/>
        <v>0.31925700188651868</v>
      </c>
      <c r="G283" t="s">
        <v>473</v>
      </c>
      <c r="H283" t="s">
        <v>473</v>
      </c>
      <c r="I283" t="s">
        <v>473</v>
      </c>
      <c r="J283" t="s">
        <v>473</v>
      </c>
      <c r="K283" t="s">
        <v>473</v>
      </c>
      <c r="L283" t="s">
        <v>473</v>
      </c>
    </row>
    <row r="284" spans="1:12" x14ac:dyDescent="0.2">
      <c r="A284" t="s">
        <v>13</v>
      </c>
      <c r="B284" t="s">
        <v>359</v>
      </c>
      <c r="C284">
        <v>3.51</v>
      </c>
      <c r="D284" s="2" t="s">
        <v>2</v>
      </c>
      <c r="E284">
        <v>88.85</v>
      </c>
      <c r="F284">
        <f t="shared" si="4"/>
        <v>3.9504783342712435</v>
      </c>
      <c r="G284" t="s">
        <v>473</v>
      </c>
      <c r="H284" t="s">
        <v>473</v>
      </c>
      <c r="I284" t="s">
        <v>473</v>
      </c>
      <c r="J284" t="s">
        <v>473</v>
      </c>
      <c r="K284" t="s">
        <v>473</v>
      </c>
      <c r="L284" t="s">
        <v>473</v>
      </c>
    </row>
    <row r="285" spans="1:12" x14ac:dyDescent="0.2">
      <c r="A285" t="s">
        <v>13</v>
      </c>
      <c r="B285" t="s">
        <v>360</v>
      </c>
      <c r="C285">
        <v>0.15</v>
      </c>
      <c r="D285" s="2" t="s">
        <v>2</v>
      </c>
      <c r="E285">
        <v>89.12</v>
      </c>
      <c r="F285">
        <f t="shared" si="4"/>
        <v>0.16831238779174146</v>
      </c>
      <c r="G285" t="s">
        <v>473</v>
      </c>
      <c r="H285" t="s">
        <v>473</v>
      </c>
      <c r="I285" t="s">
        <v>473</v>
      </c>
      <c r="J285" t="s">
        <v>473</v>
      </c>
      <c r="K285" t="s">
        <v>473</v>
      </c>
      <c r="L285" t="s">
        <v>473</v>
      </c>
    </row>
    <row r="286" spans="1:12" x14ac:dyDescent="0.2">
      <c r="A286" t="s">
        <v>13</v>
      </c>
      <c r="B286" t="s">
        <v>361</v>
      </c>
      <c r="C286">
        <v>0.41</v>
      </c>
      <c r="D286" s="2" t="s">
        <v>6</v>
      </c>
      <c r="E286">
        <v>92.33</v>
      </c>
      <c r="F286">
        <f t="shared" si="4"/>
        <v>0.44405935232318855</v>
      </c>
      <c r="G286" t="s">
        <v>473</v>
      </c>
      <c r="H286" t="s">
        <v>473</v>
      </c>
      <c r="I286" t="s">
        <v>473</v>
      </c>
      <c r="J286" t="s">
        <v>473</v>
      </c>
      <c r="K286" t="s">
        <v>473</v>
      </c>
      <c r="L286" t="s">
        <v>473</v>
      </c>
    </row>
    <row r="287" spans="1:12" x14ac:dyDescent="0.2">
      <c r="A287" t="s">
        <v>13</v>
      </c>
      <c r="B287" t="s">
        <v>362</v>
      </c>
      <c r="C287">
        <v>0.25</v>
      </c>
      <c r="D287" s="2" t="s">
        <v>2</v>
      </c>
      <c r="E287">
        <v>85.99</v>
      </c>
      <c r="F287">
        <f t="shared" si="4"/>
        <v>0.29073148040469821</v>
      </c>
      <c r="G287" t="s">
        <v>473</v>
      </c>
      <c r="H287" t="s">
        <v>473</v>
      </c>
      <c r="I287" t="s">
        <v>473</v>
      </c>
      <c r="J287" t="s">
        <v>473</v>
      </c>
      <c r="K287" t="s">
        <v>473</v>
      </c>
      <c r="L287" t="s">
        <v>473</v>
      </c>
    </row>
    <row r="288" spans="1:12" x14ac:dyDescent="0.2">
      <c r="A288" t="s">
        <v>13</v>
      </c>
      <c r="B288" t="s">
        <v>363</v>
      </c>
      <c r="C288">
        <v>0.24</v>
      </c>
      <c r="D288" s="2" t="s">
        <v>10</v>
      </c>
      <c r="E288">
        <v>72.790000000000006</v>
      </c>
      <c r="F288">
        <f t="shared" si="4"/>
        <v>0.32971562027751061</v>
      </c>
      <c r="G288" t="s">
        <v>473</v>
      </c>
      <c r="H288" t="s">
        <v>473</v>
      </c>
      <c r="I288" t="s">
        <v>473</v>
      </c>
      <c r="J288" t="s">
        <v>473</v>
      </c>
      <c r="K288" t="s">
        <v>473</v>
      </c>
      <c r="L288" t="s">
        <v>473</v>
      </c>
    </row>
    <row r="289" spans="1:12" x14ac:dyDescent="0.2">
      <c r="A289" t="s">
        <v>13</v>
      </c>
      <c r="B289" t="s">
        <v>364</v>
      </c>
      <c r="C289">
        <v>0.32</v>
      </c>
      <c r="D289" s="2" t="s">
        <v>2</v>
      </c>
      <c r="E289">
        <v>85.96</v>
      </c>
      <c r="F289">
        <f t="shared" si="4"/>
        <v>0.37226617031177295</v>
      </c>
      <c r="G289" t="s">
        <v>473</v>
      </c>
      <c r="H289" t="s">
        <v>473</v>
      </c>
      <c r="I289" t="s">
        <v>473</v>
      </c>
      <c r="J289" t="s">
        <v>473</v>
      </c>
      <c r="K289" t="s">
        <v>473</v>
      </c>
      <c r="L289" t="s">
        <v>473</v>
      </c>
    </row>
    <row r="290" spans="1:12" x14ac:dyDescent="0.2">
      <c r="A290" t="s">
        <v>13</v>
      </c>
      <c r="B290" t="s">
        <v>365</v>
      </c>
      <c r="C290">
        <v>0.1</v>
      </c>
      <c r="D290" s="2" t="s">
        <v>2</v>
      </c>
      <c r="E290">
        <v>72.010000000000005</v>
      </c>
      <c r="F290">
        <f t="shared" si="4"/>
        <v>0.13886960144424385</v>
      </c>
      <c r="G290" t="s">
        <v>473</v>
      </c>
      <c r="H290" t="s">
        <v>473</v>
      </c>
      <c r="I290" t="s">
        <v>473</v>
      </c>
      <c r="J290" t="s">
        <v>473</v>
      </c>
      <c r="K290" t="s">
        <v>473</v>
      </c>
      <c r="L290" t="s">
        <v>473</v>
      </c>
    </row>
    <row r="291" spans="1:12" x14ac:dyDescent="0.2">
      <c r="A291" t="s">
        <v>13</v>
      </c>
      <c r="B291" t="s">
        <v>366</v>
      </c>
      <c r="C291">
        <v>1.32</v>
      </c>
      <c r="D291" s="2" t="s">
        <v>2</v>
      </c>
      <c r="E291">
        <v>88.65</v>
      </c>
      <c r="F291">
        <f t="shared" si="4"/>
        <v>1.4890016920473772</v>
      </c>
      <c r="G291" t="s">
        <v>473</v>
      </c>
      <c r="H291" t="s">
        <v>473</v>
      </c>
      <c r="I291" t="s">
        <v>473</v>
      </c>
      <c r="J291" t="s">
        <v>473</v>
      </c>
      <c r="K291" t="s">
        <v>473</v>
      </c>
      <c r="L291" t="s">
        <v>473</v>
      </c>
    </row>
    <row r="292" spans="1:12" x14ac:dyDescent="0.2">
      <c r="A292" t="s">
        <v>13</v>
      </c>
      <c r="B292" t="s">
        <v>367</v>
      </c>
      <c r="C292">
        <v>1.1100000000000001</v>
      </c>
      <c r="D292" s="2" t="s">
        <v>2</v>
      </c>
      <c r="E292">
        <v>96.65</v>
      </c>
      <c r="F292">
        <f t="shared" si="4"/>
        <v>1.148473874806001</v>
      </c>
      <c r="G292" t="s">
        <v>473</v>
      </c>
      <c r="H292" t="s">
        <v>473</v>
      </c>
      <c r="I292" t="s">
        <v>473</v>
      </c>
      <c r="J292" t="s">
        <v>473</v>
      </c>
      <c r="K292" t="s">
        <v>473</v>
      </c>
      <c r="L292" t="s">
        <v>473</v>
      </c>
    </row>
    <row r="293" spans="1:12" x14ac:dyDescent="0.2">
      <c r="A293" t="s">
        <v>13</v>
      </c>
      <c r="B293" t="s">
        <v>368</v>
      </c>
      <c r="C293">
        <v>0.89</v>
      </c>
      <c r="D293" s="2" t="s">
        <v>2</v>
      </c>
      <c r="E293">
        <v>89.35</v>
      </c>
      <c r="F293">
        <f t="shared" si="4"/>
        <v>0.99608282036933415</v>
      </c>
      <c r="G293" t="s">
        <v>473</v>
      </c>
      <c r="H293" t="s">
        <v>473</v>
      </c>
      <c r="I293" t="s">
        <v>473</v>
      </c>
      <c r="J293" t="s">
        <v>473</v>
      </c>
      <c r="K293" t="s">
        <v>473</v>
      </c>
      <c r="L293" t="s">
        <v>473</v>
      </c>
    </row>
    <row r="294" spans="1:12" x14ac:dyDescent="0.2">
      <c r="A294" t="s">
        <v>13</v>
      </c>
      <c r="B294" t="s">
        <v>369</v>
      </c>
      <c r="C294">
        <v>0.69</v>
      </c>
      <c r="D294" s="2" t="s">
        <v>2</v>
      </c>
      <c r="E294">
        <v>80.81</v>
      </c>
      <c r="F294">
        <f t="shared" si="4"/>
        <v>0.85385472095037729</v>
      </c>
      <c r="G294" t="s">
        <v>473</v>
      </c>
      <c r="H294" t="s">
        <v>473</v>
      </c>
      <c r="I294" t="s">
        <v>473</v>
      </c>
      <c r="J294" t="s">
        <v>473</v>
      </c>
      <c r="K294" t="s">
        <v>473</v>
      </c>
      <c r="L294" t="s">
        <v>473</v>
      </c>
    </row>
    <row r="295" spans="1:12" x14ac:dyDescent="0.2">
      <c r="A295" t="s">
        <v>13</v>
      </c>
      <c r="B295" t="s">
        <v>370</v>
      </c>
      <c r="C295">
        <v>0.11</v>
      </c>
      <c r="D295" s="2" t="s">
        <v>10</v>
      </c>
      <c r="E295">
        <v>80.430000000000007</v>
      </c>
      <c r="F295">
        <f t="shared" si="4"/>
        <v>0.13676488872311326</v>
      </c>
      <c r="G295" t="s">
        <v>473</v>
      </c>
      <c r="H295" t="s">
        <v>473</v>
      </c>
      <c r="I295" t="s">
        <v>473</v>
      </c>
      <c r="J295" t="s">
        <v>473</v>
      </c>
      <c r="K295" t="s">
        <v>473</v>
      </c>
      <c r="L295" t="s">
        <v>473</v>
      </c>
    </row>
    <row r="296" spans="1:12" x14ac:dyDescent="0.2">
      <c r="A296" t="s">
        <v>13</v>
      </c>
      <c r="B296" t="s">
        <v>371</v>
      </c>
      <c r="C296">
        <v>0.08</v>
      </c>
      <c r="D296" s="2" t="s">
        <v>3</v>
      </c>
      <c r="E296">
        <v>69.790000000000006</v>
      </c>
      <c r="F296">
        <f t="shared" si="4"/>
        <v>0.11462960309499927</v>
      </c>
      <c r="G296" t="s">
        <v>473</v>
      </c>
      <c r="H296" t="s">
        <v>473</v>
      </c>
      <c r="I296" t="s">
        <v>473</v>
      </c>
      <c r="J296" t="s">
        <v>473</v>
      </c>
      <c r="K296" t="s">
        <v>473</v>
      </c>
      <c r="L296" t="s">
        <v>473</v>
      </c>
    </row>
    <row r="297" spans="1:12" x14ac:dyDescent="0.2">
      <c r="A297" t="s">
        <v>13</v>
      </c>
      <c r="B297" t="s">
        <v>372</v>
      </c>
      <c r="C297">
        <v>0.08</v>
      </c>
      <c r="D297" s="2" t="s">
        <v>3</v>
      </c>
      <c r="E297">
        <v>69.790000000000006</v>
      </c>
      <c r="F297">
        <f t="shared" si="4"/>
        <v>0.11462960309499927</v>
      </c>
      <c r="G297" t="s">
        <v>473</v>
      </c>
      <c r="H297" t="s">
        <v>473</v>
      </c>
      <c r="I297" t="s">
        <v>473</v>
      </c>
      <c r="J297" t="s">
        <v>473</v>
      </c>
      <c r="K297" t="s">
        <v>473</v>
      </c>
      <c r="L297" t="s">
        <v>473</v>
      </c>
    </row>
    <row r="298" spans="1:12" x14ac:dyDescent="0.2">
      <c r="A298" t="s">
        <v>13</v>
      </c>
      <c r="B298" t="s">
        <v>373</v>
      </c>
      <c r="C298">
        <v>0.18</v>
      </c>
      <c r="D298" s="2" t="s">
        <v>2</v>
      </c>
      <c r="E298">
        <v>81.25</v>
      </c>
      <c r="F298">
        <f t="shared" si="4"/>
        <v>0.22153846153846152</v>
      </c>
      <c r="G298" t="s">
        <v>473</v>
      </c>
      <c r="H298" t="s">
        <v>473</v>
      </c>
      <c r="I298" t="s">
        <v>473</v>
      </c>
      <c r="J298" t="s">
        <v>473</v>
      </c>
      <c r="K298" t="s">
        <v>473</v>
      </c>
      <c r="L298" t="s">
        <v>473</v>
      </c>
    </row>
    <row r="299" spans="1:12" x14ac:dyDescent="0.2">
      <c r="A299" t="s">
        <v>13</v>
      </c>
      <c r="B299" t="s">
        <v>374</v>
      </c>
      <c r="C299">
        <v>0.32</v>
      </c>
      <c r="D299" s="2" t="s">
        <v>10</v>
      </c>
      <c r="E299">
        <v>46.37</v>
      </c>
      <c r="F299">
        <f t="shared" si="4"/>
        <v>0.6901013586370498</v>
      </c>
      <c r="G299" t="s">
        <v>473</v>
      </c>
      <c r="H299" t="s">
        <v>473</v>
      </c>
      <c r="I299" t="s">
        <v>473</v>
      </c>
      <c r="J299" t="s">
        <v>473</v>
      </c>
      <c r="K299" t="s">
        <v>473</v>
      </c>
      <c r="L299" t="s">
        <v>473</v>
      </c>
    </row>
    <row r="300" spans="1:12" x14ac:dyDescent="0.2">
      <c r="A300" t="s">
        <v>13</v>
      </c>
      <c r="B300" t="s">
        <v>375</v>
      </c>
      <c r="C300">
        <v>0.04</v>
      </c>
      <c r="D300" s="2" t="s">
        <v>3</v>
      </c>
      <c r="E300">
        <v>76.900000000000006</v>
      </c>
      <c r="F300">
        <f t="shared" si="4"/>
        <v>5.2015604681404419E-2</v>
      </c>
      <c r="G300" t="s">
        <v>473</v>
      </c>
      <c r="H300" t="s">
        <v>473</v>
      </c>
      <c r="I300" t="s">
        <v>473</v>
      </c>
      <c r="J300" t="s">
        <v>473</v>
      </c>
      <c r="K300" t="s">
        <v>473</v>
      </c>
      <c r="L300" t="s">
        <v>473</v>
      </c>
    </row>
    <row r="301" spans="1:12" x14ac:dyDescent="0.2">
      <c r="A301" t="s">
        <v>13</v>
      </c>
      <c r="B301" t="s">
        <v>376</v>
      </c>
      <c r="C301">
        <v>0.43</v>
      </c>
      <c r="D301" s="2" t="s">
        <v>3</v>
      </c>
      <c r="E301">
        <v>54.46</v>
      </c>
      <c r="F301">
        <f t="shared" si="4"/>
        <v>0.78957032684539119</v>
      </c>
      <c r="G301" t="s">
        <v>473</v>
      </c>
      <c r="H301" t="s">
        <v>473</v>
      </c>
      <c r="I301" t="s">
        <v>473</v>
      </c>
      <c r="J301" t="s">
        <v>473</v>
      </c>
      <c r="K301" t="s">
        <v>473</v>
      </c>
      <c r="L301" t="s">
        <v>473</v>
      </c>
    </row>
    <row r="302" spans="1:12" x14ac:dyDescent="0.2">
      <c r="A302" t="s">
        <v>13</v>
      </c>
      <c r="B302" t="s">
        <v>377</v>
      </c>
      <c r="C302">
        <v>0.09</v>
      </c>
      <c r="D302" s="2" t="s">
        <v>2</v>
      </c>
      <c r="E302">
        <v>91.78</v>
      </c>
      <c r="F302">
        <f t="shared" si="4"/>
        <v>9.8060579646981907E-2</v>
      </c>
      <c r="G302" t="s">
        <v>473</v>
      </c>
      <c r="H302" t="s">
        <v>473</v>
      </c>
      <c r="I302" t="s">
        <v>473</v>
      </c>
      <c r="J302" t="s">
        <v>473</v>
      </c>
      <c r="K302" t="s">
        <v>473</v>
      </c>
      <c r="L302" t="s">
        <v>473</v>
      </c>
    </row>
    <row r="303" spans="1:12" x14ac:dyDescent="0.2">
      <c r="A303" t="s">
        <v>13</v>
      </c>
      <c r="B303" t="s">
        <v>378</v>
      </c>
      <c r="C303">
        <v>0.71</v>
      </c>
      <c r="D303" s="2" t="s">
        <v>6</v>
      </c>
      <c r="E303">
        <v>89.07</v>
      </c>
      <c r="F303">
        <f t="shared" si="4"/>
        <v>0.79712585606826092</v>
      </c>
      <c r="G303" t="s">
        <v>473</v>
      </c>
      <c r="H303" t="s">
        <v>473</v>
      </c>
      <c r="I303" t="s">
        <v>473</v>
      </c>
      <c r="J303" t="s">
        <v>473</v>
      </c>
      <c r="K303" t="s">
        <v>473</v>
      </c>
      <c r="L303" t="s">
        <v>473</v>
      </c>
    </row>
    <row r="304" spans="1:12" x14ac:dyDescent="0.2">
      <c r="A304" t="s">
        <v>13</v>
      </c>
      <c r="B304" t="s">
        <v>379</v>
      </c>
      <c r="C304">
        <v>0.16</v>
      </c>
      <c r="D304" s="2" t="s">
        <v>3</v>
      </c>
      <c r="E304">
        <v>78.459999999999994</v>
      </c>
      <c r="F304">
        <f t="shared" si="4"/>
        <v>0.20392556716798371</v>
      </c>
      <c r="G304" t="s">
        <v>473</v>
      </c>
      <c r="H304" t="s">
        <v>473</v>
      </c>
      <c r="I304" t="s">
        <v>473</v>
      </c>
      <c r="J304" t="s">
        <v>473</v>
      </c>
      <c r="K304" t="s">
        <v>473</v>
      </c>
      <c r="L304" t="s">
        <v>473</v>
      </c>
    </row>
    <row r="305" spans="1:12" x14ac:dyDescent="0.2">
      <c r="A305" t="s">
        <v>13</v>
      </c>
      <c r="B305" t="s">
        <v>380</v>
      </c>
      <c r="C305">
        <v>0.34</v>
      </c>
      <c r="D305" s="2" t="s">
        <v>2</v>
      </c>
      <c r="E305">
        <v>92.07</v>
      </c>
      <c r="F305">
        <f t="shared" si="4"/>
        <v>0.36928424025198225</v>
      </c>
      <c r="G305" t="s">
        <v>473</v>
      </c>
      <c r="H305" t="s">
        <v>473</v>
      </c>
      <c r="I305" t="s">
        <v>473</v>
      </c>
      <c r="J305" t="s">
        <v>473</v>
      </c>
      <c r="K305" t="s">
        <v>473</v>
      </c>
      <c r="L305" t="s">
        <v>473</v>
      </c>
    </row>
    <row r="306" spans="1:12" x14ac:dyDescent="0.2">
      <c r="A306" t="s">
        <v>13</v>
      </c>
      <c r="B306" t="s">
        <v>381</v>
      </c>
      <c r="C306">
        <v>0.17</v>
      </c>
      <c r="D306" s="2" t="s">
        <v>5</v>
      </c>
      <c r="E306">
        <v>71.5</v>
      </c>
      <c r="F306">
        <f t="shared" si="4"/>
        <v>0.23776223776223779</v>
      </c>
      <c r="G306" t="s">
        <v>473</v>
      </c>
      <c r="H306" t="s">
        <v>473</v>
      </c>
      <c r="I306" t="s">
        <v>473</v>
      </c>
      <c r="J306" t="s">
        <v>473</v>
      </c>
      <c r="K306" t="s">
        <v>473</v>
      </c>
      <c r="L306" t="s">
        <v>473</v>
      </c>
    </row>
    <row r="307" spans="1:12" x14ac:dyDescent="0.2">
      <c r="A307" t="s">
        <v>13</v>
      </c>
      <c r="B307" t="s">
        <v>382</v>
      </c>
      <c r="C307">
        <v>0.12</v>
      </c>
      <c r="D307" s="2" t="s">
        <v>5</v>
      </c>
      <c r="E307">
        <v>67.72</v>
      </c>
      <c r="F307">
        <f t="shared" si="4"/>
        <v>0.17720023626698167</v>
      </c>
      <c r="G307" t="s">
        <v>473</v>
      </c>
      <c r="H307" t="s">
        <v>473</v>
      </c>
      <c r="I307" t="s">
        <v>473</v>
      </c>
      <c r="J307" t="s">
        <v>473</v>
      </c>
      <c r="K307" t="s">
        <v>473</v>
      </c>
      <c r="L307" t="s">
        <v>473</v>
      </c>
    </row>
    <row r="308" spans="1:12" x14ac:dyDescent="0.2">
      <c r="A308" t="s">
        <v>13</v>
      </c>
      <c r="B308" t="s">
        <v>383</v>
      </c>
      <c r="C308">
        <v>0.15</v>
      </c>
      <c r="D308" s="2" t="s">
        <v>10</v>
      </c>
      <c r="E308">
        <v>98.3</v>
      </c>
      <c r="F308">
        <f t="shared" si="4"/>
        <v>0.1525940996948118</v>
      </c>
      <c r="G308" t="s">
        <v>473</v>
      </c>
      <c r="H308" t="s">
        <v>473</v>
      </c>
      <c r="I308" t="s">
        <v>473</v>
      </c>
      <c r="J308" t="s">
        <v>473</v>
      </c>
      <c r="K308" t="s">
        <v>473</v>
      </c>
      <c r="L308" t="s">
        <v>473</v>
      </c>
    </row>
    <row r="309" spans="1:12" x14ac:dyDescent="0.2">
      <c r="A309" t="s">
        <v>13</v>
      </c>
      <c r="B309" t="s">
        <v>384</v>
      </c>
      <c r="C309">
        <v>0.17</v>
      </c>
      <c r="D309" s="2" t="s">
        <v>3</v>
      </c>
      <c r="E309">
        <v>60.16</v>
      </c>
      <c r="F309">
        <f t="shared" si="4"/>
        <v>0.28257978723404259</v>
      </c>
      <c r="G309" t="s">
        <v>473</v>
      </c>
      <c r="H309" t="s">
        <v>473</v>
      </c>
      <c r="I309" t="s">
        <v>473</v>
      </c>
      <c r="J309" t="s">
        <v>473</v>
      </c>
      <c r="K309" t="s">
        <v>473</v>
      </c>
      <c r="L309" t="s">
        <v>473</v>
      </c>
    </row>
    <row r="310" spans="1:12" x14ac:dyDescent="0.2">
      <c r="A310" t="s">
        <v>13</v>
      </c>
      <c r="B310" t="s">
        <v>385</v>
      </c>
      <c r="C310">
        <v>0.14000000000000001</v>
      </c>
      <c r="D310" s="2" t="s">
        <v>2</v>
      </c>
      <c r="E310">
        <v>80.959999999999994</v>
      </c>
      <c r="F310">
        <f t="shared" si="4"/>
        <v>0.17292490118577078</v>
      </c>
      <c r="G310" t="s">
        <v>473</v>
      </c>
      <c r="H310" t="s">
        <v>473</v>
      </c>
      <c r="I310" t="s">
        <v>473</v>
      </c>
      <c r="J310" t="s">
        <v>473</v>
      </c>
      <c r="K310" t="s">
        <v>473</v>
      </c>
      <c r="L310" t="s">
        <v>473</v>
      </c>
    </row>
    <row r="311" spans="1:12" x14ac:dyDescent="0.2">
      <c r="A311" t="s">
        <v>13</v>
      </c>
      <c r="B311" t="s">
        <v>386</v>
      </c>
      <c r="C311">
        <v>1.72</v>
      </c>
      <c r="D311" s="2" t="s">
        <v>2</v>
      </c>
      <c r="E311">
        <v>86.41</v>
      </c>
      <c r="F311">
        <f t="shared" si="4"/>
        <v>1.9905103575975003</v>
      </c>
      <c r="G311" t="s">
        <v>473</v>
      </c>
      <c r="H311" t="s">
        <v>473</v>
      </c>
      <c r="I311" t="s">
        <v>473</v>
      </c>
      <c r="J311" t="s">
        <v>473</v>
      </c>
      <c r="K311" t="s">
        <v>473</v>
      </c>
      <c r="L311" t="s">
        <v>473</v>
      </c>
    </row>
    <row r="312" spans="1:12" x14ac:dyDescent="0.2">
      <c r="A312" t="s">
        <v>13</v>
      </c>
      <c r="B312" t="s">
        <v>387</v>
      </c>
      <c r="C312">
        <v>0.09</v>
      </c>
      <c r="D312" s="2" t="s">
        <v>3</v>
      </c>
      <c r="E312">
        <v>81.08</v>
      </c>
      <c r="F312">
        <f t="shared" si="4"/>
        <v>0.1110014800197336</v>
      </c>
      <c r="G312" t="s">
        <v>473</v>
      </c>
      <c r="H312" t="s">
        <v>473</v>
      </c>
      <c r="I312" t="s">
        <v>473</v>
      </c>
      <c r="J312" t="s">
        <v>473</v>
      </c>
      <c r="K312" t="s">
        <v>473</v>
      </c>
      <c r="L312" t="s">
        <v>473</v>
      </c>
    </row>
    <row r="313" spans="1:12" x14ac:dyDescent="0.2">
      <c r="A313" t="s">
        <v>13</v>
      </c>
      <c r="B313" t="s">
        <v>388</v>
      </c>
      <c r="C313">
        <v>0.61</v>
      </c>
      <c r="D313" s="2" t="s">
        <v>2</v>
      </c>
      <c r="E313">
        <v>42.23</v>
      </c>
      <c r="F313">
        <f t="shared" si="4"/>
        <v>1.4444707553871656</v>
      </c>
      <c r="G313" t="s">
        <v>473</v>
      </c>
      <c r="H313" t="s">
        <v>473</v>
      </c>
      <c r="I313" t="s">
        <v>473</v>
      </c>
      <c r="J313" t="s">
        <v>473</v>
      </c>
      <c r="K313" t="s">
        <v>473</v>
      </c>
      <c r="L313" t="s">
        <v>473</v>
      </c>
    </row>
    <row r="314" spans="1:12" x14ac:dyDescent="0.2">
      <c r="A314" t="s">
        <v>13</v>
      </c>
      <c r="B314" t="s">
        <v>389</v>
      </c>
      <c r="C314">
        <v>0.12</v>
      </c>
      <c r="D314" s="2" t="s">
        <v>8</v>
      </c>
      <c r="E314">
        <v>90.29</v>
      </c>
      <c r="F314">
        <f t="shared" si="4"/>
        <v>0.13290508361944844</v>
      </c>
      <c r="G314" t="s">
        <v>473</v>
      </c>
      <c r="H314" t="s">
        <v>473</v>
      </c>
      <c r="I314" t="s">
        <v>473</v>
      </c>
      <c r="J314" t="s">
        <v>473</v>
      </c>
      <c r="K314" t="s">
        <v>473</v>
      </c>
      <c r="L314" t="s">
        <v>473</v>
      </c>
    </row>
    <row r="315" spans="1:12" x14ac:dyDescent="0.2">
      <c r="A315" t="s">
        <v>13</v>
      </c>
      <c r="B315" t="s">
        <v>390</v>
      </c>
      <c r="C315">
        <v>0.06</v>
      </c>
      <c r="D315" s="2" t="s">
        <v>3</v>
      </c>
      <c r="E315">
        <v>67.73</v>
      </c>
      <c r="F315">
        <f t="shared" si="4"/>
        <v>8.8587036763620258E-2</v>
      </c>
      <c r="G315" t="s">
        <v>473</v>
      </c>
      <c r="H315" t="s">
        <v>473</v>
      </c>
      <c r="I315" t="s">
        <v>473</v>
      </c>
      <c r="J315" t="s">
        <v>473</v>
      </c>
      <c r="K315" t="s">
        <v>473</v>
      </c>
      <c r="L315" t="s">
        <v>473</v>
      </c>
    </row>
    <row r="316" spans="1:12" x14ac:dyDescent="0.2">
      <c r="A316" t="s">
        <v>13</v>
      </c>
      <c r="B316" t="s">
        <v>391</v>
      </c>
      <c r="C316">
        <v>0.23</v>
      </c>
      <c r="D316" s="2" t="s">
        <v>3</v>
      </c>
      <c r="E316">
        <v>70.239999999999995</v>
      </c>
      <c r="F316">
        <f t="shared" si="4"/>
        <v>0.32744874715261962</v>
      </c>
      <c r="G316" t="s">
        <v>473</v>
      </c>
      <c r="H316" t="s">
        <v>473</v>
      </c>
      <c r="I316" t="s">
        <v>473</v>
      </c>
      <c r="J316" t="s">
        <v>473</v>
      </c>
      <c r="K316" t="s">
        <v>473</v>
      </c>
      <c r="L316" t="s">
        <v>473</v>
      </c>
    </row>
    <row r="317" spans="1:12" x14ac:dyDescent="0.2">
      <c r="A317" t="s">
        <v>13</v>
      </c>
      <c r="B317" t="s">
        <v>392</v>
      </c>
      <c r="C317">
        <v>0.39</v>
      </c>
      <c r="D317" s="2" t="s">
        <v>2</v>
      </c>
      <c r="E317">
        <v>84.06</v>
      </c>
      <c r="F317">
        <f t="shared" si="4"/>
        <v>0.46395431834404</v>
      </c>
      <c r="G317" t="s">
        <v>473</v>
      </c>
      <c r="H317" t="s">
        <v>473</v>
      </c>
      <c r="I317" t="s">
        <v>473</v>
      </c>
      <c r="J317" t="s">
        <v>473</v>
      </c>
      <c r="K317" t="s">
        <v>473</v>
      </c>
      <c r="L317" t="s">
        <v>473</v>
      </c>
    </row>
    <row r="318" spans="1:12" x14ac:dyDescent="0.2">
      <c r="A318" t="s">
        <v>13</v>
      </c>
      <c r="B318" t="s">
        <v>393</v>
      </c>
      <c r="C318">
        <v>1.86</v>
      </c>
      <c r="D318" s="2" t="s">
        <v>2</v>
      </c>
      <c r="E318">
        <v>90.44</v>
      </c>
      <c r="F318">
        <f t="shared" si="4"/>
        <v>2.0566121185316235</v>
      </c>
      <c r="G318" t="s">
        <v>473</v>
      </c>
      <c r="H318" t="s">
        <v>473</v>
      </c>
      <c r="I318" t="s">
        <v>473</v>
      </c>
      <c r="J318" t="s">
        <v>473</v>
      </c>
      <c r="K318" t="s">
        <v>473</v>
      </c>
      <c r="L318" t="s">
        <v>473</v>
      </c>
    </row>
    <row r="319" spans="1:12" x14ac:dyDescent="0.2">
      <c r="A319" t="s">
        <v>13</v>
      </c>
      <c r="B319" t="s">
        <v>394</v>
      </c>
      <c r="C319">
        <v>0.06</v>
      </c>
      <c r="D319" s="2" t="s">
        <v>3</v>
      </c>
      <c r="E319">
        <v>41.79</v>
      </c>
      <c r="F319">
        <f t="shared" si="4"/>
        <v>0.14357501794687724</v>
      </c>
      <c r="G319" t="s">
        <v>473</v>
      </c>
      <c r="H319" t="s">
        <v>473</v>
      </c>
      <c r="I319" t="s">
        <v>473</v>
      </c>
      <c r="J319" t="s">
        <v>473</v>
      </c>
      <c r="K319" t="s">
        <v>473</v>
      </c>
      <c r="L319" t="s">
        <v>473</v>
      </c>
    </row>
    <row r="320" spans="1:12" x14ac:dyDescent="0.2">
      <c r="A320" t="s">
        <v>13</v>
      </c>
      <c r="B320" t="s">
        <v>395</v>
      </c>
      <c r="C320">
        <v>0.5</v>
      </c>
      <c r="D320" s="2" t="s">
        <v>2</v>
      </c>
      <c r="E320">
        <v>77.08</v>
      </c>
      <c r="F320">
        <f t="shared" si="4"/>
        <v>0.64867669953295282</v>
      </c>
      <c r="G320" t="s">
        <v>473</v>
      </c>
      <c r="H320" t="s">
        <v>473</v>
      </c>
      <c r="I320" t="s">
        <v>473</v>
      </c>
      <c r="J320" t="s">
        <v>473</v>
      </c>
      <c r="K320" t="s">
        <v>473</v>
      </c>
      <c r="L320" t="s">
        <v>473</v>
      </c>
    </row>
    <row r="321" spans="1:12" x14ac:dyDescent="0.2">
      <c r="A321" t="s">
        <v>13</v>
      </c>
      <c r="B321" t="s">
        <v>396</v>
      </c>
      <c r="C321">
        <v>0.89</v>
      </c>
      <c r="D321" s="2" t="s">
        <v>2</v>
      </c>
      <c r="E321">
        <v>90.54</v>
      </c>
      <c r="F321">
        <f t="shared" si="4"/>
        <v>0.98299094322951175</v>
      </c>
      <c r="G321" t="s">
        <v>473</v>
      </c>
      <c r="H321" t="s">
        <v>473</v>
      </c>
      <c r="I321" t="s">
        <v>473</v>
      </c>
      <c r="J321" t="s">
        <v>473</v>
      </c>
      <c r="K321" t="s">
        <v>473</v>
      </c>
      <c r="L321" t="s">
        <v>473</v>
      </c>
    </row>
    <row r="322" spans="1:12" x14ac:dyDescent="0.2">
      <c r="A322" t="s">
        <v>13</v>
      </c>
      <c r="B322" t="s">
        <v>397</v>
      </c>
      <c r="C322">
        <v>0.43</v>
      </c>
      <c r="D322" s="2" t="s">
        <v>2</v>
      </c>
      <c r="E322">
        <v>83.48</v>
      </c>
      <c r="F322">
        <f t="shared" ref="F322:F385" si="5">C322/(E322/100)</f>
        <v>0.51509343555342602</v>
      </c>
      <c r="G322" t="s">
        <v>473</v>
      </c>
      <c r="H322" t="s">
        <v>473</v>
      </c>
      <c r="I322" t="s">
        <v>473</v>
      </c>
      <c r="J322" t="s">
        <v>473</v>
      </c>
      <c r="K322" t="s">
        <v>473</v>
      </c>
      <c r="L322" t="s">
        <v>473</v>
      </c>
    </row>
    <row r="323" spans="1:12" x14ac:dyDescent="0.2">
      <c r="A323" t="s">
        <v>13</v>
      </c>
      <c r="B323" t="s">
        <v>398</v>
      </c>
      <c r="C323">
        <v>0.3</v>
      </c>
      <c r="D323" s="2" t="s">
        <v>2</v>
      </c>
      <c r="E323">
        <v>85.34</v>
      </c>
      <c r="F323">
        <f t="shared" si="5"/>
        <v>0.35153503632528704</v>
      </c>
      <c r="G323" t="s">
        <v>473</v>
      </c>
      <c r="H323" t="s">
        <v>473</v>
      </c>
      <c r="I323" t="s">
        <v>473</v>
      </c>
      <c r="J323" t="s">
        <v>473</v>
      </c>
      <c r="K323" t="s">
        <v>473</v>
      </c>
      <c r="L323" t="s">
        <v>473</v>
      </c>
    </row>
    <row r="324" spans="1:12" x14ac:dyDescent="0.2">
      <c r="A324" t="s">
        <v>13</v>
      </c>
      <c r="B324" t="s">
        <v>399</v>
      </c>
      <c r="C324">
        <v>0.12</v>
      </c>
      <c r="D324" s="2" t="s">
        <v>2</v>
      </c>
      <c r="E324">
        <v>68.47</v>
      </c>
      <c r="F324">
        <f t="shared" si="5"/>
        <v>0.17525923762231635</v>
      </c>
      <c r="G324" t="s">
        <v>473</v>
      </c>
      <c r="H324" t="s">
        <v>473</v>
      </c>
      <c r="I324" t="s">
        <v>473</v>
      </c>
      <c r="J324" t="s">
        <v>473</v>
      </c>
      <c r="K324" t="s">
        <v>473</v>
      </c>
      <c r="L324" t="s">
        <v>473</v>
      </c>
    </row>
    <row r="325" spans="1:12" x14ac:dyDescent="0.2">
      <c r="A325" t="s">
        <v>13</v>
      </c>
      <c r="B325" t="s">
        <v>400</v>
      </c>
      <c r="C325">
        <v>0.16</v>
      </c>
      <c r="D325" s="2" t="s">
        <v>2</v>
      </c>
      <c r="E325">
        <v>88.72</v>
      </c>
      <c r="F325">
        <f t="shared" si="5"/>
        <v>0.18034265103697025</v>
      </c>
      <c r="G325" t="s">
        <v>473</v>
      </c>
      <c r="H325" t="s">
        <v>473</v>
      </c>
      <c r="I325" t="s">
        <v>473</v>
      </c>
      <c r="J325" t="s">
        <v>473</v>
      </c>
      <c r="K325" t="s">
        <v>473</v>
      </c>
      <c r="L325" t="s">
        <v>473</v>
      </c>
    </row>
    <row r="326" spans="1:12" x14ac:dyDescent="0.2">
      <c r="A326" t="s">
        <v>13</v>
      </c>
      <c r="B326" t="s">
        <v>401</v>
      </c>
      <c r="C326">
        <v>0.16</v>
      </c>
      <c r="D326" s="2" t="s">
        <v>2</v>
      </c>
      <c r="E326">
        <v>46.89</v>
      </c>
      <c r="F326">
        <f t="shared" si="5"/>
        <v>0.34122414160801878</v>
      </c>
      <c r="G326" t="s">
        <v>473</v>
      </c>
      <c r="H326" t="s">
        <v>473</v>
      </c>
      <c r="I326" t="s">
        <v>473</v>
      </c>
      <c r="J326" t="s">
        <v>473</v>
      </c>
      <c r="K326" t="s">
        <v>473</v>
      </c>
      <c r="L326" t="s">
        <v>473</v>
      </c>
    </row>
    <row r="327" spans="1:12" x14ac:dyDescent="0.2">
      <c r="A327" t="s">
        <v>13</v>
      </c>
      <c r="B327" t="s">
        <v>402</v>
      </c>
      <c r="C327">
        <v>3</v>
      </c>
      <c r="D327" t="s">
        <v>2</v>
      </c>
      <c r="E327">
        <v>86.79</v>
      </c>
      <c r="F327">
        <f t="shared" si="5"/>
        <v>3.4566194262011747</v>
      </c>
      <c r="G327" t="s">
        <v>473</v>
      </c>
      <c r="H327" t="s">
        <v>473</v>
      </c>
      <c r="I327" t="s">
        <v>473</v>
      </c>
      <c r="J327" t="s">
        <v>473</v>
      </c>
      <c r="K327" t="s">
        <v>473</v>
      </c>
      <c r="L327" t="s">
        <v>473</v>
      </c>
    </row>
    <row r="328" spans="1:12" x14ac:dyDescent="0.2">
      <c r="A328" t="s">
        <v>13</v>
      </c>
      <c r="B328" t="s">
        <v>403</v>
      </c>
      <c r="C328">
        <v>0.06</v>
      </c>
      <c r="D328" t="s">
        <v>3</v>
      </c>
      <c r="E328">
        <v>37.85</v>
      </c>
      <c r="F328">
        <f t="shared" si="5"/>
        <v>0.15852047556142668</v>
      </c>
      <c r="G328" t="s">
        <v>473</v>
      </c>
      <c r="H328" t="s">
        <v>473</v>
      </c>
      <c r="I328" t="s">
        <v>473</v>
      </c>
      <c r="J328" t="s">
        <v>473</v>
      </c>
      <c r="K328" t="s">
        <v>473</v>
      </c>
      <c r="L328" t="s">
        <v>473</v>
      </c>
    </row>
    <row r="329" spans="1:12" x14ac:dyDescent="0.2">
      <c r="A329" t="s">
        <v>13</v>
      </c>
      <c r="B329" t="s">
        <v>404</v>
      </c>
      <c r="C329">
        <v>0.12</v>
      </c>
      <c r="D329" t="s">
        <v>10</v>
      </c>
      <c r="E329">
        <v>82.46</v>
      </c>
      <c r="F329">
        <f t="shared" si="5"/>
        <v>0.14552510308028135</v>
      </c>
      <c r="G329" t="s">
        <v>473</v>
      </c>
      <c r="H329" t="s">
        <v>473</v>
      </c>
      <c r="I329" t="s">
        <v>473</v>
      </c>
      <c r="J329" t="s">
        <v>473</v>
      </c>
      <c r="K329" t="s">
        <v>473</v>
      </c>
      <c r="L329" t="s">
        <v>473</v>
      </c>
    </row>
    <row r="330" spans="1:12" x14ac:dyDescent="0.2">
      <c r="A330" t="s">
        <v>13</v>
      </c>
      <c r="B330" t="s">
        <v>405</v>
      </c>
      <c r="C330">
        <v>0.8</v>
      </c>
      <c r="D330" t="s">
        <v>6</v>
      </c>
      <c r="E330">
        <v>83.18</v>
      </c>
      <c r="F330">
        <f t="shared" si="5"/>
        <v>0.96176965616734789</v>
      </c>
      <c r="G330" t="s">
        <v>473</v>
      </c>
      <c r="H330" t="s">
        <v>473</v>
      </c>
      <c r="I330" t="s">
        <v>473</v>
      </c>
      <c r="J330" t="s">
        <v>473</v>
      </c>
      <c r="K330" t="s">
        <v>473</v>
      </c>
      <c r="L330" t="s">
        <v>473</v>
      </c>
    </row>
    <row r="331" spans="1:12" x14ac:dyDescent="0.2">
      <c r="A331" t="s">
        <v>13</v>
      </c>
      <c r="B331" t="s">
        <v>406</v>
      </c>
      <c r="C331">
        <v>0.09</v>
      </c>
      <c r="D331" t="s">
        <v>2</v>
      </c>
      <c r="E331">
        <v>76.239999999999995</v>
      </c>
      <c r="F331">
        <f t="shared" si="5"/>
        <v>0.1180482686253935</v>
      </c>
      <c r="G331" t="s">
        <v>473</v>
      </c>
      <c r="H331" t="s">
        <v>473</v>
      </c>
      <c r="I331" t="s">
        <v>473</v>
      </c>
      <c r="J331" t="s">
        <v>473</v>
      </c>
      <c r="K331" t="s">
        <v>473</v>
      </c>
      <c r="L331" t="s">
        <v>473</v>
      </c>
    </row>
    <row r="332" spans="1:12" x14ac:dyDescent="0.2">
      <c r="A332" t="s">
        <v>13</v>
      </c>
      <c r="B332" t="s">
        <v>407</v>
      </c>
      <c r="C332">
        <v>0.82</v>
      </c>
      <c r="D332" t="s">
        <v>2</v>
      </c>
      <c r="E332">
        <v>91.21</v>
      </c>
      <c r="F332">
        <f t="shared" si="5"/>
        <v>0.89902422979936414</v>
      </c>
      <c r="G332" t="s">
        <v>473</v>
      </c>
      <c r="H332" t="s">
        <v>473</v>
      </c>
      <c r="I332" t="s">
        <v>473</v>
      </c>
      <c r="J332" t="s">
        <v>473</v>
      </c>
      <c r="K332" t="s">
        <v>473</v>
      </c>
      <c r="L332" t="s">
        <v>473</v>
      </c>
    </row>
    <row r="333" spans="1:12" x14ac:dyDescent="0.2">
      <c r="A333" t="s">
        <v>13</v>
      </c>
      <c r="B333" t="s">
        <v>408</v>
      </c>
      <c r="C333">
        <v>0.24</v>
      </c>
      <c r="D333" t="s">
        <v>2</v>
      </c>
      <c r="E333">
        <v>89.96</v>
      </c>
      <c r="F333">
        <f t="shared" si="5"/>
        <v>0.26678523788350378</v>
      </c>
      <c r="G333" t="s">
        <v>473</v>
      </c>
      <c r="H333" t="s">
        <v>473</v>
      </c>
      <c r="I333" t="s">
        <v>473</v>
      </c>
      <c r="J333" t="s">
        <v>473</v>
      </c>
      <c r="K333" t="s">
        <v>473</v>
      </c>
      <c r="L333" t="s">
        <v>473</v>
      </c>
    </row>
    <row r="334" spans="1:12" x14ac:dyDescent="0.2">
      <c r="A334" t="s">
        <v>13</v>
      </c>
      <c r="B334" t="s">
        <v>409</v>
      </c>
      <c r="C334">
        <v>0.1</v>
      </c>
      <c r="D334" t="s">
        <v>3</v>
      </c>
      <c r="E334">
        <v>72</v>
      </c>
      <c r="F334">
        <f t="shared" si="5"/>
        <v>0.1388888888888889</v>
      </c>
      <c r="G334" t="s">
        <v>473</v>
      </c>
      <c r="H334" t="s">
        <v>473</v>
      </c>
      <c r="I334" t="s">
        <v>473</v>
      </c>
      <c r="J334" t="s">
        <v>473</v>
      </c>
      <c r="K334" t="s">
        <v>473</v>
      </c>
      <c r="L334" t="s">
        <v>473</v>
      </c>
    </row>
    <row r="335" spans="1:12" x14ac:dyDescent="0.2">
      <c r="A335" t="s">
        <v>13</v>
      </c>
      <c r="B335" t="s">
        <v>410</v>
      </c>
      <c r="C335">
        <v>0.34</v>
      </c>
      <c r="D335" t="s">
        <v>3</v>
      </c>
      <c r="E335">
        <v>78.87</v>
      </c>
      <c r="F335">
        <f t="shared" si="5"/>
        <v>0.43108913401800431</v>
      </c>
      <c r="G335" t="s">
        <v>473</v>
      </c>
      <c r="H335" t="s">
        <v>473</v>
      </c>
      <c r="I335" t="s">
        <v>473</v>
      </c>
      <c r="J335" t="s">
        <v>473</v>
      </c>
      <c r="K335" t="s">
        <v>473</v>
      </c>
      <c r="L335" t="s">
        <v>473</v>
      </c>
    </row>
    <row r="336" spans="1:12" x14ac:dyDescent="0.2">
      <c r="A336" t="s">
        <v>13</v>
      </c>
      <c r="B336" t="s">
        <v>411</v>
      </c>
      <c r="C336">
        <v>1.26</v>
      </c>
      <c r="D336" t="s">
        <v>2</v>
      </c>
      <c r="E336">
        <v>90.8</v>
      </c>
      <c r="F336">
        <f t="shared" si="5"/>
        <v>1.3876651982378856</v>
      </c>
      <c r="G336" t="s">
        <v>473</v>
      </c>
      <c r="H336" t="s">
        <v>473</v>
      </c>
      <c r="I336" t="s">
        <v>473</v>
      </c>
      <c r="J336" t="s">
        <v>473</v>
      </c>
      <c r="K336" t="s">
        <v>473</v>
      </c>
      <c r="L336" t="s">
        <v>473</v>
      </c>
    </row>
    <row r="337" spans="1:12" x14ac:dyDescent="0.2">
      <c r="A337" t="s">
        <v>13</v>
      </c>
      <c r="B337" t="s">
        <v>412</v>
      </c>
      <c r="C337">
        <v>0.1</v>
      </c>
      <c r="D337" t="s">
        <v>2</v>
      </c>
      <c r="E337">
        <v>92.36</v>
      </c>
      <c r="F337">
        <f t="shared" si="5"/>
        <v>0.10827197921178</v>
      </c>
      <c r="G337" t="s">
        <v>473</v>
      </c>
      <c r="H337" t="s">
        <v>473</v>
      </c>
      <c r="I337" t="s">
        <v>473</v>
      </c>
      <c r="J337" t="s">
        <v>473</v>
      </c>
      <c r="K337" t="s">
        <v>473</v>
      </c>
      <c r="L337" t="s">
        <v>473</v>
      </c>
    </row>
    <row r="338" spans="1:12" x14ac:dyDescent="0.2">
      <c r="A338" t="s">
        <v>13</v>
      </c>
      <c r="B338" t="s">
        <v>413</v>
      </c>
      <c r="C338">
        <v>0.12</v>
      </c>
      <c r="D338" t="s">
        <v>3</v>
      </c>
      <c r="E338">
        <v>80.260000000000005</v>
      </c>
      <c r="F338">
        <f t="shared" si="5"/>
        <v>0.14951407924246199</v>
      </c>
      <c r="G338" t="s">
        <v>473</v>
      </c>
      <c r="H338" t="s">
        <v>473</v>
      </c>
      <c r="I338" t="s">
        <v>473</v>
      </c>
      <c r="J338" t="s">
        <v>473</v>
      </c>
      <c r="K338" t="s">
        <v>473</v>
      </c>
      <c r="L338" t="s">
        <v>473</v>
      </c>
    </row>
    <row r="339" spans="1:12" x14ac:dyDescent="0.2">
      <c r="A339" t="s">
        <v>13</v>
      </c>
      <c r="B339" t="s">
        <v>414</v>
      </c>
      <c r="C339">
        <v>0.3</v>
      </c>
      <c r="D339" t="s">
        <v>2</v>
      </c>
      <c r="E339">
        <v>86.96</v>
      </c>
      <c r="F339">
        <f t="shared" si="5"/>
        <v>0.34498620055197793</v>
      </c>
      <c r="G339" t="s">
        <v>473</v>
      </c>
      <c r="H339" t="s">
        <v>473</v>
      </c>
      <c r="I339" t="s">
        <v>473</v>
      </c>
      <c r="J339" t="s">
        <v>473</v>
      </c>
      <c r="K339" t="s">
        <v>473</v>
      </c>
      <c r="L339" t="s">
        <v>473</v>
      </c>
    </row>
    <row r="340" spans="1:12" x14ac:dyDescent="0.2">
      <c r="A340" t="s">
        <v>13</v>
      </c>
      <c r="B340" t="s">
        <v>415</v>
      </c>
      <c r="C340">
        <v>0.14000000000000001</v>
      </c>
      <c r="D340" t="s">
        <v>3</v>
      </c>
      <c r="E340">
        <v>79.42</v>
      </c>
      <c r="F340">
        <f t="shared" si="5"/>
        <v>0.17627801561319567</v>
      </c>
      <c r="G340" t="s">
        <v>473</v>
      </c>
      <c r="H340" t="s">
        <v>473</v>
      </c>
      <c r="I340" t="s">
        <v>473</v>
      </c>
      <c r="J340" t="s">
        <v>473</v>
      </c>
      <c r="K340" t="s">
        <v>473</v>
      </c>
      <c r="L340" t="s">
        <v>473</v>
      </c>
    </row>
    <row r="341" spans="1:12" x14ac:dyDescent="0.2">
      <c r="A341" t="s">
        <v>13</v>
      </c>
      <c r="B341" t="s">
        <v>416</v>
      </c>
      <c r="C341">
        <v>0.24</v>
      </c>
      <c r="D341" t="s">
        <v>2</v>
      </c>
      <c r="E341">
        <v>86.12</v>
      </c>
      <c r="F341">
        <f t="shared" si="5"/>
        <v>0.27868091035764048</v>
      </c>
      <c r="G341" t="s">
        <v>473</v>
      </c>
      <c r="H341" t="s">
        <v>473</v>
      </c>
      <c r="I341" t="s">
        <v>473</v>
      </c>
      <c r="J341" t="s">
        <v>473</v>
      </c>
      <c r="K341" t="s">
        <v>473</v>
      </c>
      <c r="L341" t="s">
        <v>473</v>
      </c>
    </row>
    <row r="342" spans="1:12" x14ac:dyDescent="0.2">
      <c r="A342" t="s">
        <v>13</v>
      </c>
      <c r="B342" t="s">
        <v>417</v>
      </c>
      <c r="C342">
        <v>0.16</v>
      </c>
      <c r="D342" s="2" t="s">
        <v>2</v>
      </c>
      <c r="E342">
        <v>88.79</v>
      </c>
      <c r="F342">
        <f t="shared" si="5"/>
        <v>0.1802004730262417</v>
      </c>
      <c r="G342" t="s">
        <v>473</v>
      </c>
      <c r="H342" t="s">
        <v>473</v>
      </c>
      <c r="I342" t="s">
        <v>473</v>
      </c>
      <c r="J342" t="s">
        <v>473</v>
      </c>
      <c r="K342" t="s">
        <v>473</v>
      </c>
      <c r="L342" t="s">
        <v>473</v>
      </c>
    </row>
    <row r="343" spans="1:12" x14ac:dyDescent="0.2">
      <c r="A343" t="s">
        <v>13</v>
      </c>
      <c r="B343" t="s">
        <v>418</v>
      </c>
      <c r="C343">
        <v>0.08</v>
      </c>
      <c r="D343" t="s">
        <v>3</v>
      </c>
      <c r="E343">
        <v>65.489999999999995</v>
      </c>
      <c r="F343">
        <f t="shared" si="5"/>
        <v>0.12215605435944421</v>
      </c>
      <c r="G343" t="s">
        <v>473</v>
      </c>
      <c r="H343" t="s">
        <v>473</v>
      </c>
      <c r="I343" t="s">
        <v>473</v>
      </c>
      <c r="J343" t="s">
        <v>473</v>
      </c>
      <c r="K343" t="s">
        <v>473</v>
      </c>
      <c r="L343" t="s">
        <v>473</v>
      </c>
    </row>
    <row r="344" spans="1:12" x14ac:dyDescent="0.2">
      <c r="A344" t="s">
        <v>13</v>
      </c>
      <c r="B344" t="s">
        <v>419</v>
      </c>
      <c r="C344">
        <v>0.35</v>
      </c>
      <c r="D344" s="2" t="s">
        <v>2</v>
      </c>
      <c r="E344">
        <v>81.34</v>
      </c>
      <c r="F344">
        <f t="shared" si="5"/>
        <v>0.43029259896729771</v>
      </c>
      <c r="G344" t="s">
        <v>473</v>
      </c>
      <c r="H344" t="s">
        <v>473</v>
      </c>
      <c r="I344" t="s">
        <v>473</v>
      </c>
      <c r="J344" t="s">
        <v>473</v>
      </c>
      <c r="K344" t="s">
        <v>473</v>
      </c>
      <c r="L344" t="s">
        <v>473</v>
      </c>
    </row>
    <row r="345" spans="1:12" x14ac:dyDescent="0.2">
      <c r="A345" t="s">
        <v>13</v>
      </c>
      <c r="B345" t="s">
        <v>420</v>
      </c>
      <c r="C345">
        <v>0.12</v>
      </c>
      <c r="D345" s="2" t="s">
        <v>2</v>
      </c>
      <c r="E345">
        <v>69.989999999999995</v>
      </c>
      <c r="F345">
        <f t="shared" si="5"/>
        <v>0.17145306472353194</v>
      </c>
      <c r="G345" t="s">
        <v>473</v>
      </c>
      <c r="H345" t="s">
        <v>473</v>
      </c>
      <c r="I345" t="s">
        <v>473</v>
      </c>
      <c r="J345" t="s">
        <v>473</v>
      </c>
      <c r="K345" t="s">
        <v>473</v>
      </c>
      <c r="L345" t="s">
        <v>473</v>
      </c>
    </row>
    <row r="346" spans="1:12" x14ac:dyDescent="0.2">
      <c r="A346" t="s">
        <v>13</v>
      </c>
      <c r="B346" t="s">
        <v>421</v>
      </c>
      <c r="C346">
        <v>1.67</v>
      </c>
      <c r="D346" s="2" t="s">
        <v>2</v>
      </c>
      <c r="E346">
        <v>89.9</v>
      </c>
      <c r="F346">
        <f t="shared" si="5"/>
        <v>1.8576195773081201</v>
      </c>
      <c r="G346" t="s">
        <v>473</v>
      </c>
      <c r="H346" t="s">
        <v>473</v>
      </c>
      <c r="I346" t="s">
        <v>473</v>
      </c>
      <c r="J346" t="s">
        <v>473</v>
      </c>
      <c r="K346" t="s">
        <v>473</v>
      </c>
      <c r="L346" t="s">
        <v>473</v>
      </c>
    </row>
    <row r="347" spans="1:12" x14ac:dyDescent="0.2">
      <c r="A347" t="s">
        <v>13</v>
      </c>
      <c r="B347" t="s">
        <v>422</v>
      </c>
      <c r="C347">
        <v>0.33</v>
      </c>
      <c r="D347" s="2" t="s">
        <v>2</v>
      </c>
      <c r="E347">
        <v>88.67</v>
      </c>
      <c r="F347">
        <f t="shared" si="5"/>
        <v>0.37216645990752228</v>
      </c>
      <c r="G347" t="s">
        <v>473</v>
      </c>
      <c r="H347" t="s">
        <v>473</v>
      </c>
      <c r="I347" t="s">
        <v>473</v>
      </c>
      <c r="J347" t="s">
        <v>473</v>
      </c>
      <c r="K347" t="s">
        <v>473</v>
      </c>
      <c r="L347" t="s">
        <v>473</v>
      </c>
    </row>
    <row r="348" spans="1:12" x14ac:dyDescent="0.2">
      <c r="A348" t="s">
        <v>13</v>
      </c>
      <c r="B348" t="s">
        <v>423</v>
      </c>
      <c r="C348">
        <v>0.28999999999999998</v>
      </c>
      <c r="D348" t="s">
        <v>2</v>
      </c>
      <c r="E348">
        <v>76.3</v>
      </c>
      <c r="F348">
        <f t="shared" si="5"/>
        <v>0.38007863695937089</v>
      </c>
      <c r="G348" t="s">
        <v>473</v>
      </c>
      <c r="H348" t="s">
        <v>473</v>
      </c>
      <c r="I348" t="s">
        <v>473</v>
      </c>
      <c r="J348" t="s">
        <v>473</v>
      </c>
      <c r="K348" t="s">
        <v>473</v>
      </c>
      <c r="L348" t="s">
        <v>473</v>
      </c>
    </row>
    <row r="349" spans="1:12" x14ac:dyDescent="0.2">
      <c r="A349" t="s">
        <v>13</v>
      </c>
      <c r="B349" t="s">
        <v>424</v>
      </c>
      <c r="C349">
        <v>0.15</v>
      </c>
      <c r="D349" t="s">
        <v>3</v>
      </c>
      <c r="E349">
        <v>75.040000000000006</v>
      </c>
      <c r="F349">
        <f t="shared" si="5"/>
        <v>0.19989339019189764</v>
      </c>
      <c r="G349" t="s">
        <v>473</v>
      </c>
      <c r="H349" t="s">
        <v>473</v>
      </c>
      <c r="I349" t="s">
        <v>473</v>
      </c>
      <c r="J349" t="s">
        <v>473</v>
      </c>
      <c r="K349" t="s">
        <v>473</v>
      </c>
      <c r="L349" t="s">
        <v>473</v>
      </c>
    </row>
    <row r="350" spans="1:12" x14ac:dyDescent="0.2">
      <c r="A350" t="s">
        <v>13</v>
      </c>
      <c r="B350" t="s">
        <v>425</v>
      </c>
      <c r="C350">
        <v>0.56000000000000005</v>
      </c>
      <c r="D350" t="s">
        <v>2</v>
      </c>
      <c r="E350">
        <v>88.95</v>
      </c>
      <c r="F350">
        <f t="shared" si="5"/>
        <v>0.62956717256885897</v>
      </c>
      <c r="G350" t="s">
        <v>473</v>
      </c>
      <c r="H350" t="s">
        <v>473</v>
      </c>
      <c r="I350" t="s">
        <v>473</v>
      </c>
      <c r="J350" t="s">
        <v>473</v>
      </c>
      <c r="K350" t="s">
        <v>473</v>
      </c>
      <c r="L350" t="s">
        <v>473</v>
      </c>
    </row>
    <row r="351" spans="1:12" x14ac:dyDescent="0.2">
      <c r="A351" t="s">
        <v>13</v>
      </c>
      <c r="B351" t="s">
        <v>426</v>
      </c>
      <c r="C351">
        <v>0.2</v>
      </c>
      <c r="D351" t="s">
        <v>2</v>
      </c>
      <c r="E351">
        <v>41.77</v>
      </c>
      <c r="F351">
        <f t="shared" si="5"/>
        <v>0.47881254488867608</v>
      </c>
      <c r="G351" t="s">
        <v>473</v>
      </c>
      <c r="H351" t="s">
        <v>473</v>
      </c>
      <c r="I351" t="s">
        <v>473</v>
      </c>
      <c r="J351" t="s">
        <v>473</v>
      </c>
      <c r="K351" t="s">
        <v>473</v>
      </c>
      <c r="L351" t="s">
        <v>473</v>
      </c>
    </row>
    <row r="352" spans="1:12" x14ac:dyDescent="0.2">
      <c r="A352" t="s">
        <v>13</v>
      </c>
      <c r="B352" t="s">
        <v>427</v>
      </c>
      <c r="C352">
        <v>0.17</v>
      </c>
      <c r="D352" t="s">
        <v>2</v>
      </c>
      <c r="E352">
        <v>88.03</v>
      </c>
      <c r="F352">
        <f t="shared" si="5"/>
        <v>0.19311598318754972</v>
      </c>
      <c r="G352" t="s">
        <v>473</v>
      </c>
      <c r="H352" t="s">
        <v>473</v>
      </c>
      <c r="I352" t="s">
        <v>473</v>
      </c>
      <c r="J352" t="s">
        <v>473</v>
      </c>
      <c r="K352" t="s">
        <v>473</v>
      </c>
      <c r="L352" t="s">
        <v>473</v>
      </c>
    </row>
    <row r="353" spans="1:12" x14ac:dyDescent="0.2">
      <c r="A353" t="s">
        <v>13</v>
      </c>
      <c r="B353" t="s">
        <v>428</v>
      </c>
      <c r="C353">
        <v>0.1</v>
      </c>
      <c r="D353" t="s">
        <v>8</v>
      </c>
      <c r="E353">
        <v>100</v>
      </c>
      <c r="F353">
        <f t="shared" si="5"/>
        <v>0.1</v>
      </c>
      <c r="G353" t="s">
        <v>473</v>
      </c>
      <c r="H353" t="s">
        <v>473</v>
      </c>
      <c r="I353" t="s">
        <v>473</v>
      </c>
      <c r="J353" t="s">
        <v>473</v>
      </c>
      <c r="K353" t="s">
        <v>473</v>
      </c>
      <c r="L353" t="s">
        <v>473</v>
      </c>
    </row>
    <row r="354" spans="1:12" x14ac:dyDescent="0.2">
      <c r="A354" t="s">
        <v>13</v>
      </c>
      <c r="B354" t="s">
        <v>429</v>
      </c>
      <c r="C354">
        <v>0.32</v>
      </c>
      <c r="D354" t="s">
        <v>2</v>
      </c>
      <c r="E354">
        <v>86.86</v>
      </c>
      <c r="F354">
        <f t="shared" si="5"/>
        <v>0.36840893391664747</v>
      </c>
      <c r="G354" t="s">
        <v>473</v>
      </c>
      <c r="H354" t="s">
        <v>473</v>
      </c>
      <c r="I354" t="s">
        <v>473</v>
      </c>
      <c r="J354" t="s">
        <v>473</v>
      </c>
      <c r="K354" t="s">
        <v>473</v>
      </c>
      <c r="L354" t="s">
        <v>473</v>
      </c>
    </row>
    <row r="355" spans="1:12" x14ac:dyDescent="0.2">
      <c r="A355" t="s">
        <v>13</v>
      </c>
      <c r="B355" t="s">
        <v>430</v>
      </c>
      <c r="C355">
        <v>0.17</v>
      </c>
      <c r="D355" t="s">
        <v>2</v>
      </c>
      <c r="E355">
        <v>85.78</v>
      </c>
      <c r="F355">
        <f t="shared" si="5"/>
        <v>0.19818139426439732</v>
      </c>
      <c r="G355" t="s">
        <v>473</v>
      </c>
      <c r="H355" t="s">
        <v>473</v>
      </c>
      <c r="I355" t="s">
        <v>473</v>
      </c>
      <c r="J355" t="s">
        <v>473</v>
      </c>
      <c r="K355" t="s">
        <v>473</v>
      </c>
      <c r="L355" t="s">
        <v>473</v>
      </c>
    </row>
    <row r="356" spans="1:12" x14ac:dyDescent="0.2">
      <c r="A356" t="s">
        <v>13</v>
      </c>
      <c r="B356" t="s">
        <v>431</v>
      </c>
      <c r="C356">
        <v>0.05</v>
      </c>
      <c r="D356" t="s">
        <v>5</v>
      </c>
      <c r="E356">
        <v>68.44</v>
      </c>
      <c r="F356">
        <f t="shared" si="5"/>
        <v>7.3056691992986561E-2</v>
      </c>
      <c r="G356" t="s">
        <v>473</v>
      </c>
      <c r="H356" t="s">
        <v>473</v>
      </c>
      <c r="I356" t="s">
        <v>473</v>
      </c>
      <c r="J356" t="s">
        <v>473</v>
      </c>
      <c r="K356" t="s">
        <v>473</v>
      </c>
      <c r="L356" t="s">
        <v>473</v>
      </c>
    </row>
    <row r="357" spans="1:12" x14ac:dyDescent="0.2">
      <c r="A357" t="s">
        <v>13</v>
      </c>
      <c r="B357" t="s">
        <v>48</v>
      </c>
      <c r="C357">
        <v>0.04</v>
      </c>
      <c r="D357" t="s">
        <v>3</v>
      </c>
      <c r="E357">
        <v>87.65</v>
      </c>
      <c r="F357">
        <f t="shared" si="5"/>
        <v>4.5636052481460354E-2</v>
      </c>
      <c r="G357" t="s">
        <v>473</v>
      </c>
      <c r="H357" t="s">
        <v>473</v>
      </c>
      <c r="I357" t="s">
        <v>473</v>
      </c>
      <c r="J357" t="s">
        <v>473</v>
      </c>
      <c r="K357" t="s">
        <v>473</v>
      </c>
      <c r="L357" t="s">
        <v>473</v>
      </c>
    </row>
    <row r="358" spans="1:12" x14ac:dyDescent="0.2">
      <c r="A358" t="s">
        <v>13</v>
      </c>
      <c r="B358" t="s">
        <v>432</v>
      </c>
      <c r="C358">
        <v>0.19</v>
      </c>
      <c r="D358" t="s">
        <v>2</v>
      </c>
      <c r="E358">
        <v>84.5</v>
      </c>
      <c r="F358">
        <f t="shared" si="5"/>
        <v>0.22485207100591717</v>
      </c>
      <c r="G358" t="s">
        <v>473</v>
      </c>
      <c r="H358" t="s">
        <v>473</v>
      </c>
      <c r="I358" t="s">
        <v>473</v>
      </c>
      <c r="J358" t="s">
        <v>473</v>
      </c>
      <c r="K358" t="s">
        <v>473</v>
      </c>
      <c r="L358" t="s">
        <v>473</v>
      </c>
    </row>
    <row r="359" spans="1:12" x14ac:dyDescent="0.2">
      <c r="A359" t="s">
        <v>13</v>
      </c>
      <c r="B359" t="s">
        <v>433</v>
      </c>
      <c r="C359">
        <v>0.28999999999999998</v>
      </c>
      <c r="D359" t="s">
        <v>5</v>
      </c>
      <c r="E359">
        <v>74.14</v>
      </c>
      <c r="F359">
        <f t="shared" si="5"/>
        <v>0.39115187483140001</v>
      </c>
      <c r="G359" t="s">
        <v>473</v>
      </c>
      <c r="H359" t="s">
        <v>473</v>
      </c>
      <c r="I359" t="s">
        <v>473</v>
      </c>
      <c r="J359" t="s">
        <v>473</v>
      </c>
      <c r="K359" t="s">
        <v>473</v>
      </c>
      <c r="L359" t="s">
        <v>473</v>
      </c>
    </row>
    <row r="360" spans="1:12" x14ac:dyDescent="0.2">
      <c r="A360" t="s">
        <v>13</v>
      </c>
      <c r="B360" t="s">
        <v>434</v>
      </c>
      <c r="C360">
        <v>1.37</v>
      </c>
      <c r="D360" t="s">
        <v>2</v>
      </c>
      <c r="E360">
        <v>83.13</v>
      </c>
      <c r="F360">
        <f t="shared" si="5"/>
        <v>1.6480211716588478</v>
      </c>
      <c r="G360" t="s">
        <v>473</v>
      </c>
      <c r="H360" t="s">
        <v>473</v>
      </c>
      <c r="I360" t="s">
        <v>473</v>
      </c>
      <c r="J360" t="s">
        <v>473</v>
      </c>
      <c r="K360" t="s">
        <v>473</v>
      </c>
      <c r="L360" t="s">
        <v>473</v>
      </c>
    </row>
    <row r="361" spans="1:12" x14ac:dyDescent="0.2">
      <c r="A361" t="s">
        <v>13</v>
      </c>
      <c r="B361" t="s">
        <v>435</v>
      </c>
      <c r="C361">
        <v>1.21</v>
      </c>
      <c r="D361" t="s">
        <v>2</v>
      </c>
      <c r="E361">
        <v>89.76</v>
      </c>
      <c r="F361">
        <f t="shared" si="5"/>
        <v>1.3480392156862744</v>
      </c>
      <c r="G361" t="s">
        <v>473</v>
      </c>
      <c r="H361" t="s">
        <v>473</v>
      </c>
      <c r="I361" t="s">
        <v>473</v>
      </c>
      <c r="J361" t="s">
        <v>473</v>
      </c>
      <c r="K361" t="s">
        <v>473</v>
      </c>
      <c r="L361" t="s">
        <v>473</v>
      </c>
    </row>
    <row r="362" spans="1:12" x14ac:dyDescent="0.2">
      <c r="A362" t="s">
        <v>13</v>
      </c>
      <c r="B362" t="s">
        <v>436</v>
      </c>
      <c r="C362">
        <v>0.81</v>
      </c>
      <c r="D362" t="s">
        <v>2</v>
      </c>
      <c r="E362">
        <v>88.56</v>
      </c>
      <c r="F362">
        <f t="shared" si="5"/>
        <v>0.91463414634146345</v>
      </c>
      <c r="G362" t="s">
        <v>473</v>
      </c>
      <c r="H362" t="s">
        <v>473</v>
      </c>
      <c r="I362" t="s">
        <v>473</v>
      </c>
      <c r="J362" t="s">
        <v>473</v>
      </c>
      <c r="K362" t="s">
        <v>473</v>
      </c>
      <c r="L362" t="s">
        <v>473</v>
      </c>
    </row>
    <row r="363" spans="1:12" x14ac:dyDescent="0.2">
      <c r="A363" t="s">
        <v>13</v>
      </c>
      <c r="B363" t="s">
        <v>437</v>
      </c>
      <c r="C363">
        <v>0.21</v>
      </c>
      <c r="D363" t="s">
        <v>5</v>
      </c>
      <c r="E363">
        <v>69.459999999999994</v>
      </c>
      <c r="F363">
        <f t="shared" si="5"/>
        <v>0.30233227756982439</v>
      </c>
      <c r="G363" t="s">
        <v>473</v>
      </c>
      <c r="H363" t="s">
        <v>473</v>
      </c>
      <c r="I363" t="s">
        <v>473</v>
      </c>
      <c r="J363" t="s">
        <v>473</v>
      </c>
      <c r="K363" t="s">
        <v>473</v>
      </c>
      <c r="L363" t="s">
        <v>473</v>
      </c>
    </row>
    <row r="364" spans="1:12" x14ac:dyDescent="0.2">
      <c r="A364" t="s">
        <v>13</v>
      </c>
      <c r="B364" t="s">
        <v>438</v>
      </c>
      <c r="C364">
        <v>0.11</v>
      </c>
      <c r="D364" t="s">
        <v>2</v>
      </c>
      <c r="E364">
        <v>70.38</v>
      </c>
      <c r="F364">
        <f t="shared" si="5"/>
        <v>0.1562944018186985</v>
      </c>
      <c r="G364" t="s">
        <v>473</v>
      </c>
      <c r="H364" t="s">
        <v>473</v>
      </c>
      <c r="I364" t="s">
        <v>473</v>
      </c>
      <c r="J364" t="s">
        <v>473</v>
      </c>
      <c r="K364" t="s">
        <v>473</v>
      </c>
      <c r="L364" t="s">
        <v>473</v>
      </c>
    </row>
    <row r="365" spans="1:12" x14ac:dyDescent="0.2">
      <c r="A365" t="s">
        <v>13</v>
      </c>
      <c r="B365" t="s">
        <v>439</v>
      </c>
      <c r="C365">
        <v>0.56000000000000005</v>
      </c>
      <c r="D365" t="s">
        <v>6</v>
      </c>
      <c r="E365">
        <v>77.760000000000005</v>
      </c>
      <c r="F365">
        <f t="shared" si="5"/>
        <v>0.72016460905349799</v>
      </c>
      <c r="G365" t="s">
        <v>473</v>
      </c>
      <c r="H365" t="s">
        <v>473</v>
      </c>
      <c r="I365" t="s">
        <v>473</v>
      </c>
      <c r="J365" t="s">
        <v>473</v>
      </c>
      <c r="K365" t="s">
        <v>473</v>
      </c>
      <c r="L365" t="s">
        <v>473</v>
      </c>
    </row>
    <row r="366" spans="1:12" x14ac:dyDescent="0.2">
      <c r="A366" t="s">
        <v>13</v>
      </c>
      <c r="B366" t="s">
        <v>440</v>
      </c>
      <c r="C366">
        <v>0.11</v>
      </c>
      <c r="D366" t="s">
        <v>3</v>
      </c>
      <c r="E366">
        <v>75.3</v>
      </c>
      <c r="F366">
        <f t="shared" si="5"/>
        <v>0.14608233731739709</v>
      </c>
      <c r="G366" t="s">
        <v>473</v>
      </c>
      <c r="H366" t="s">
        <v>473</v>
      </c>
      <c r="I366" t="s">
        <v>473</v>
      </c>
      <c r="J366" t="s">
        <v>473</v>
      </c>
      <c r="K366" t="s">
        <v>473</v>
      </c>
      <c r="L366" t="s">
        <v>473</v>
      </c>
    </row>
    <row r="367" spans="1:12" x14ac:dyDescent="0.2">
      <c r="A367" t="s">
        <v>13</v>
      </c>
      <c r="B367" t="s">
        <v>441</v>
      </c>
      <c r="C367">
        <v>0.09</v>
      </c>
      <c r="D367" t="s">
        <v>2</v>
      </c>
      <c r="E367">
        <v>72.209999999999994</v>
      </c>
      <c r="F367">
        <f t="shared" si="5"/>
        <v>0.12463647694225177</v>
      </c>
      <c r="G367" t="s">
        <v>473</v>
      </c>
      <c r="H367" t="s">
        <v>473</v>
      </c>
      <c r="I367" t="s">
        <v>473</v>
      </c>
      <c r="J367" t="s">
        <v>473</v>
      </c>
      <c r="K367" t="s">
        <v>473</v>
      </c>
      <c r="L367" t="s">
        <v>473</v>
      </c>
    </row>
    <row r="368" spans="1:12" x14ac:dyDescent="0.2">
      <c r="A368" t="s">
        <v>13</v>
      </c>
      <c r="B368" t="s">
        <v>442</v>
      </c>
      <c r="C368">
        <v>0.94</v>
      </c>
      <c r="D368" t="s">
        <v>2</v>
      </c>
      <c r="E368">
        <v>98.37</v>
      </c>
      <c r="F368">
        <f t="shared" si="5"/>
        <v>0.9555758869574057</v>
      </c>
      <c r="G368" t="s">
        <v>473</v>
      </c>
      <c r="H368" t="s">
        <v>473</v>
      </c>
      <c r="I368" t="s">
        <v>473</v>
      </c>
      <c r="J368" t="s">
        <v>473</v>
      </c>
      <c r="K368" t="s">
        <v>473</v>
      </c>
      <c r="L368" t="s">
        <v>473</v>
      </c>
    </row>
    <row r="369" spans="1:12" x14ac:dyDescent="0.2">
      <c r="A369" t="s">
        <v>13</v>
      </c>
      <c r="B369" t="s">
        <v>443</v>
      </c>
      <c r="C369">
        <v>0.16</v>
      </c>
      <c r="D369" t="s">
        <v>11</v>
      </c>
      <c r="E369">
        <v>82.89</v>
      </c>
      <c r="F369">
        <f t="shared" si="5"/>
        <v>0.19302690312462301</v>
      </c>
      <c r="G369" t="s">
        <v>473</v>
      </c>
      <c r="H369" t="s">
        <v>473</v>
      </c>
      <c r="I369" t="s">
        <v>473</v>
      </c>
      <c r="J369" t="s">
        <v>473</v>
      </c>
      <c r="K369" t="s">
        <v>473</v>
      </c>
      <c r="L369" t="s">
        <v>473</v>
      </c>
    </row>
    <row r="370" spans="1:12" x14ac:dyDescent="0.2">
      <c r="A370" t="s">
        <v>13</v>
      </c>
      <c r="B370" t="s">
        <v>444</v>
      </c>
      <c r="C370">
        <v>1.45</v>
      </c>
      <c r="D370" t="s">
        <v>2</v>
      </c>
      <c r="E370">
        <v>85.06</v>
      </c>
      <c r="F370">
        <f t="shared" si="5"/>
        <v>1.7046790500822948</v>
      </c>
      <c r="G370" t="s">
        <v>473</v>
      </c>
      <c r="H370" t="s">
        <v>473</v>
      </c>
      <c r="I370" t="s">
        <v>473</v>
      </c>
      <c r="J370" t="s">
        <v>473</v>
      </c>
      <c r="K370" t="s">
        <v>473</v>
      </c>
      <c r="L370" t="s">
        <v>473</v>
      </c>
    </row>
    <row r="371" spans="1:12" x14ac:dyDescent="0.2">
      <c r="A371" t="s">
        <v>13</v>
      </c>
      <c r="B371" t="s">
        <v>445</v>
      </c>
      <c r="C371">
        <v>0.17</v>
      </c>
      <c r="D371" s="2" t="s">
        <v>3</v>
      </c>
      <c r="E371">
        <v>45.39</v>
      </c>
      <c r="F371">
        <f t="shared" si="5"/>
        <v>0.37453183520599254</v>
      </c>
      <c r="G371" t="s">
        <v>473</v>
      </c>
      <c r="H371" t="s">
        <v>473</v>
      </c>
      <c r="I371" t="s">
        <v>473</v>
      </c>
      <c r="J371" t="s">
        <v>473</v>
      </c>
      <c r="K371" t="s">
        <v>473</v>
      </c>
      <c r="L371" t="s">
        <v>473</v>
      </c>
    </row>
    <row r="372" spans="1:12" x14ac:dyDescent="0.2">
      <c r="A372" t="s">
        <v>13</v>
      </c>
      <c r="B372" t="s">
        <v>446</v>
      </c>
      <c r="C372">
        <v>0.15</v>
      </c>
      <c r="D372" s="2" t="s">
        <v>3</v>
      </c>
      <c r="E372">
        <v>73.959999999999994</v>
      </c>
      <c r="F372">
        <f t="shared" si="5"/>
        <v>0.20281233098972418</v>
      </c>
      <c r="G372" t="s">
        <v>473</v>
      </c>
      <c r="H372" t="s">
        <v>473</v>
      </c>
      <c r="I372" t="s">
        <v>473</v>
      </c>
      <c r="J372" t="s">
        <v>473</v>
      </c>
      <c r="K372" t="s">
        <v>473</v>
      </c>
      <c r="L372" t="s">
        <v>473</v>
      </c>
    </row>
    <row r="373" spans="1:12" x14ac:dyDescent="0.2">
      <c r="A373" t="s">
        <v>13</v>
      </c>
      <c r="B373" t="s">
        <v>447</v>
      </c>
      <c r="C373">
        <v>0.15</v>
      </c>
      <c r="D373" s="2" t="s">
        <v>3</v>
      </c>
      <c r="E373">
        <v>73.959999999999994</v>
      </c>
      <c r="F373">
        <f t="shared" si="5"/>
        <v>0.20281233098972418</v>
      </c>
      <c r="G373" t="s">
        <v>473</v>
      </c>
      <c r="H373" t="s">
        <v>473</v>
      </c>
      <c r="I373" t="s">
        <v>473</v>
      </c>
      <c r="J373" t="s">
        <v>473</v>
      </c>
      <c r="K373" t="s">
        <v>473</v>
      </c>
      <c r="L373" t="s">
        <v>473</v>
      </c>
    </row>
    <row r="374" spans="1:12" x14ac:dyDescent="0.2">
      <c r="A374" t="s">
        <v>13</v>
      </c>
      <c r="B374" t="s">
        <v>448</v>
      </c>
      <c r="C374">
        <v>0.05</v>
      </c>
      <c r="D374" t="s">
        <v>3</v>
      </c>
      <c r="E374">
        <v>82.53</v>
      </c>
      <c r="F374">
        <f t="shared" si="5"/>
        <v>6.0584030049678904E-2</v>
      </c>
      <c r="G374" t="s">
        <v>473</v>
      </c>
      <c r="H374" t="s">
        <v>473</v>
      </c>
      <c r="I374" t="s">
        <v>473</v>
      </c>
      <c r="J374" t="s">
        <v>473</v>
      </c>
      <c r="K374" t="s">
        <v>473</v>
      </c>
      <c r="L374" t="s">
        <v>473</v>
      </c>
    </row>
    <row r="375" spans="1:12" x14ac:dyDescent="0.2">
      <c r="A375" t="s">
        <v>13</v>
      </c>
      <c r="B375" t="s">
        <v>449</v>
      </c>
      <c r="C375">
        <v>0.23</v>
      </c>
      <c r="D375" t="s">
        <v>2</v>
      </c>
      <c r="E375">
        <v>88.75</v>
      </c>
      <c r="F375">
        <f t="shared" si="5"/>
        <v>0.25915492957746483</v>
      </c>
      <c r="G375" t="s">
        <v>473</v>
      </c>
      <c r="H375" t="s">
        <v>473</v>
      </c>
      <c r="I375" t="s">
        <v>473</v>
      </c>
      <c r="J375" t="s">
        <v>473</v>
      </c>
      <c r="K375" t="s">
        <v>473</v>
      </c>
      <c r="L375" t="s">
        <v>473</v>
      </c>
    </row>
    <row r="376" spans="1:12" x14ac:dyDescent="0.2">
      <c r="A376" t="s">
        <v>13</v>
      </c>
      <c r="B376" t="s">
        <v>450</v>
      </c>
      <c r="C376">
        <v>0.95</v>
      </c>
      <c r="D376" t="s">
        <v>2</v>
      </c>
      <c r="E376">
        <v>98.31</v>
      </c>
      <c r="F376">
        <f t="shared" si="5"/>
        <v>0.96633099379513776</v>
      </c>
      <c r="G376" t="s">
        <v>473</v>
      </c>
      <c r="H376" t="s">
        <v>473</v>
      </c>
      <c r="I376" t="s">
        <v>473</v>
      </c>
      <c r="J376" t="s">
        <v>473</v>
      </c>
      <c r="K376" t="s">
        <v>473</v>
      </c>
      <c r="L376" t="s">
        <v>473</v>
      </c>
    </row>
    <row r="377" spans="1:12" x14ac:dyDescent="0.2">
      <c r="A377" t="s">
        <v>13</v>
      </c>
      <c r="B377" t="s">
        <v>451</v>
      </c>
      <c r="C377">
        <v>0.25</v>
      </c>
      <c r="D377" t="s">
        <v>2</v>
      </c>
      <c r="E377">
        <v>88.2</v>
      </c>
      <c r="F377">
        <f t="shared" si="5"/>
        <v>0.28344671201814059</v>
      </c>
      <c r="G377" t="s">
        <v>473</v>
      </c>
      <c r="H377" t="s">
        <v>473</v>
      </c>
      <c r="I377" t="s">
        <v>473</v>
      </c>
      <c r="J377" t="s">
        <v>473</v>
      </c>
      <c r="K377" t="s">
        <v>473</v>
      </c>
      <c r="L377" t="s">
        <v>473</v>
      </c>
    </row>
    <row r="378" spans="1:12" x14ac:dyDescent="0.2">
      <c r="A378" t="s">
        <v>13</v>
      </c>
      <c r="B378" t="s">
        <v>452</v>
      </c>
      <c r="C378">
        <v>0.2</v>
      </c>
      <c r="D378" t="s">
        <v>3</v>
      </c>
      <c r="E378">
        <v>74.09</v>
      </c>
      <c r="F378">
        <f t="shared" si="5"/>
        <v>0.26994196247806723</v>
      </c>
      <c r="G378" t="s">
        <v>473</v>
      </c>
      <c r="H378" t="s">
        <v>473</v>
      </c>
      <c r="I378" t="s">
        <v>473</v>
      </c>
      <c r="J378" t="s">
        <v>473</v>
      </c>
      <c r="K378" t="s">
        <v>473</v>
      </c>
      <c r="L378" t="s">
        <v>473</v>
      </c>
    </row>
    <row r="379" spans="1:12" x14ac:dyDescent="0.2">
      <c r="A379" t="s">
        <v>13</v>
      </c>
      <c r="B379" t="s">
        <v>453</v>
      </c>
      <c r="C379">
        <v>0.2</v>
      </c>
      <c r="D379" t="s">
        <v>3</v>
      </c>
      <c r="E379">
        <v>74.09</v>
      </c>
      <c r="F379">
        <f t="shared" si="5"/>
        <v>0.26994196247806723</v>
      </c>
      <c r="G379" t="s">
        <v>473</v>
      </c>
      <c r="H379" t="s">
        <v>473</v>
      </c>
      <c r="I379" t="s">
        <v>473</v>
      </c>
      <c r="J379" t="s">
        <v>473</v>
      </c>
      <c r="K379" t="s">
        <v>473</v>
      </c>
      <c r="L379" t="s">
        <v>473</v>
      </c>
    </row>
    <row r="380" spans="1:12" x14ac:dyDescent="0.2">
      <c r="A380" t="s">
        <v>13</v>
      </c>
      <c r="B380" t="s">
        <v>454</v>
      </c>
      <c r="C380">
        <v>0.14000000000000001</v>
      </c>
      <c r="D380" t="s">
        <v>2</v>
      </c>
      <c r="E380">
        <v>70.39</v>
      </c>
      <c r="F380">
        <f t="shared" si="5"/>
        <v>0.19889188805228017</v>
      </c>
      <c r="G380" t="s">
        <v>473</v>
      </c>
      <c r="H380" t="s">
        <v>473</v>
      </c>
      <c r="I380" t="s">
        <v>473</v>
      </c>
      <c r="J380" t="s">
        <v>473</v>
      </c>
      <c r="K380" t="s">
        <v>473</v>
      </c>
      <c r="L380" t="s">
        <v>473</v>
      </c>
    </row>
    <row r="381" spans="1:12" x14ac:dyDescent="0.2">
      <c r="A381" t="s">
        <v>13</v>
      </c>
      <c r="B381" t="s">
        <v>455</v>
      </c>
      <c r="C381">
        <v>0.21</v>
      </c>
      <c r="D381" t="s">
        <v>3</v>
      </c>
      <c r="E381">
        <v>70.260000000000005</v>
      </c>
      <c r="F381">
        <f t="shared" si="5"/>
        <v>0.29888983774551664</v>
      </c>
      <c r="G381" t="s">
        <v>473</v>
      </c>
      <c r="H381" t="s">
        <v>473</v>
      </c>
      <c r="I381" t="s">
        <v>473</v>
      </c>
      <c r="J381" t="s">
        <v>473</v>
      </c>
      <c r="K381" t="s">
        <v>473</v>
      </c>
      <c r="L381" t="s">
        <v>473</v>
      </c>
    </row>
    <row r="382" spans="1:12" x14ac:dyDescent="0.2">
      <c r="A382" t="s">
        <v>13</v>
      </c>
      <c r="B382" t="s">
        <v>456</v>
      </c>
      <c r="C382">
        <v>1.17</v>
      </c>
      <c r="D382" t="s">
        <v>2</v>
      </c>
      <c r="E382">
        <v>94.12</v>
      </c>
      <c r="F382">
        <f t="shared" si="5"/>
        <v>1.2430939226519335</v>
      </c>
      <c r="G382" t="s">
        <v>473</v>
      </c>
      <c r="H382" t="s">
        <v>473</v>
      </c>
      <c r="I382" t="s">
        <v>473</v>
      </c>
      <c r="J382" t="s">
        <v>473</v>
      </c>
      <c r="K382" t="s">
        <v>473</v>
      </c>
      <c r="L382" t="s">
        <v>473</v>
      </c>
    </row>
    <row r="383" spans="1:12" x14ac:dyDescent="0.2">
      <c r="A383" t="s">
        <v>13</v>
      </c>
      <c r="B383" t="s">
        <v>457</v>
      </c>
      <c r="C383">
        <v>0.57999999999999996</v>
      </c>
      <c r="D383" t="s">
        <v>2</v>
      </c>
      <c r="E383">
        <v>59.22</v>
      </c>
      <c r="F383">
        <f t="shared" si="5"/>
        <v>0.97939885173927732</v>
      </c>
      <c r="G383" t="s">
        <v>473</v>
      </c>
      <c r="H383" t="s">
        <v>473</v>
      </c>
      <c r="I383" t="s">
        <v>473</v>
      </c>
      <c r="J383" t="s">
        <v>473</v>
      </c>
      <c r="K383" t="s">
        <v>473</v>
      </c>
      <c r="L383" t="s">
        <v>473</v>
      </c>
    </row>
    <row r="384" spans="1:12" x14ac:dyDescent="0.2">
      <c r="A384" t="s">
        <v>13</v>
      </c>
      <c r="B384" t="s">
        <v>458</v>
      </c>
      <c r="C384">
        <v>0.14000000000000001</v>
      </c>
      <c r="D384" t="s">
        <v>2</v>
      </c>
      <c r="E384">
        <v>85.93</v>
      </c>
      <c r="F384">
        <f t="shared" si="5"/>
        <v>0.16292330967066218</v>
      </c>
      <c r="G384" t="s">
        <v>473</v>
      </c>
      <c r="H384" t="s">
        <v>473</v>
      </c>
      <c r="I384" t="s">
        <v>473</v>
      </c>
      <c r="J384" t="s">
        <v>473</v>
      </c>
      <c r="K384" t="s">
        <v>473</v>
      </c>
      <c r="L384" t="s">
        <v>473</v>
      </c>
    </row>
    <row r="385" spans="1:12" x14ac:dyDescent="0.2">
      <c r="A385" t="s">
        <v>13</v>
      </c>
      <c r="B385" t="s">
        <v>459</v>
      </c>
      <c r="C385">
        <v>0.12</v>
      </c>
      <c r="D385" t="s">
        <v>2</v>
      </c>
      <c r="E385">
        <v>91.26</v>
      </c>
      <c r="F385">
        <f t="shared" si="5"/>
        <v>0.13149243918474687</v>
      </c>
      <c r="G385" t="s">
        <v>473</v>
      </c>
      <c r="H385" t="s">
        <v>473</v>
      </c>
      <c r="I385" t="s">
        <v>473</v>
      </c>
      <c r="J385" t="s">
        <v>473</v>
      </c>
      <c r="K385" t="s">
        <v>473</v>
      </c>
      <c r="L385" t="s">
        <v>473</v>
      </c>
    </row>
    <row r="386" spans="1:12" x14ac:dyDescent="0.2">
      <c r="A386" t="s">
        <v>13</v>
      </c>
      <c r="B386" t="s">
        <v>460</v>
      </c>
      <c r="C386">
        <v>0.94</v>
      </c>
      <c r="D386" t="s">
        <v>2</v>
      </c>
      <c r="E386">
        <v>90.58</v>
      </c>
      <c r="F386">
        <f t="shared" ref="F386:F396" si="6">C386/(E386/100)</f>
        <v>1.0377566791786266</v>
      </c>
      <c r="G386" t="s">
        <v>473</v>
      </c>
      <c r="H386" t="s">
        <v>473</v>
      </c>
      <c r="I386" t="s">
        <v>473</v>
      </c>
      <c r="J386" t="s">
        <v>473</v>
      </c>
      <c r="K386" t="s">
        <v>473</v>
      </c>
      <c r="L386" t="s">
        <v>473</v>
      </c>
    </row>
    <row r="387" spans="1:12" x14ac:dyDescent="0.2">
      <c r="A387" t="s">
        <v>13</v>
      </c>
      <c r="B387" t="s">
        <v>461</v>
      </c>
      <c r="C387">
        <v>0.77</v>
      </c>
      <c r="D387" t="s">
        <v>11</v>
      </c>
      <c r="E387">
        <v>55.34</v>
      </c>
      <c r="F387">
        <f t="shared" si="6"/>
        <v>1.3913986266714853</v>
      </c>
      <c r="G387" t="s">
        <v>473</v>
      </c>
      <c r="H387" t="s">
        <v>473</v>
      </c>
      <c r="I387" t="s">
        <v>473</v>
      </c>
      <c r="J387" t="s">
        <v>473</v>
      </c>
      <c r="K387" t="s">
        <v>473</v>
      </c>
      <c r="L387" t="s">
        <v>473</v>
      </c>
    </row>
    <row r="388" spans="1:12" x14ac:dyDescent="0.2">
      <c r="A388" t="s">
        <v>13</v>
      </c>
      <c r="B388" t="s">
        <v>462</v>
      </c>
      <c r="C388">
        <v>0.18</v>
      </c>
      <c r="D388" t="s">
        <v>5</v>
      </c>
      <c r="E388">
        <v>72.23</v>
      </c>
      <c r="F388">
        <f t="shared" si="6"/>
        <v>0.2492039318842586</v>
      </c>
      <c r="G388" t="s">
        <v>473</v>
      </c>
      <c r="H388" t="s">
        <v>473</v>
      </c>
      <c r="I388" t="s">
        <v>473</v>
      </c>
      <c r="J388" t="s">
        <v>473</v>
      </c>
      <c r="K388" t="s">
        <v>473</v>
      </c>
      <c r="L388" t="s">
        <v>473</v>
      </c>
    </row>
    <row r="389" spans="1:12" x14ac:dyDescent="0.2">
      <c r="A389" t="s">
        <v>13</v>
      </c>
      <c r="B389" t="s">
        <v>463</v>
      </c>
      <c r="C389">
        <v>0.93</v>
      </c>
      <c r="D389" t="s">
        <v>2</v>
      </c>
      <c r="E389">
        <v>87.77</v>
      </c>
      <c r="F389">
        <f t="shared" si="6"/>
        <v>1.05958755839125</v>
      </c>
      <c r="G389" t="s">
        <v>473</v>
      </c>
      <c r="H389" t="s">
        <v>473</v>
      </c>
      <c r="I389" t="s">
        <v>473</v>
      </c>
      <c r="J389" t="s">
        <v>473</v>
      </c>
      <c r="K389" t="s">
        <v>473</v>
      </c>
      <c r="L389" t="s">
        <v>473</v>
      </c>
    </row>
    <row r="390" spans="1:12" x14ac:dyDescent="0.2">
      <c r="A390" t="s">
        <v>13</v>
      </c>
      <c r="B390" t="s">
        <v>464</v>
      </c>
      <c r="C390">
        <v>0.27</v>
      </c>
      <c r="D390" t="s">
        <v>2</v>
      </c>
      <c r="E390">
        <v>91.71</v>
      </c>
      <c r="F390">
        <f t="shared" si="6"/>
        <v>0.29440628066732094</v>
      </c>
      <c r="G390" t="s">
        <v>473</v>
      </c>
      <c r="H390" t="s">
        <v>473</v>
      </c>
      <c r="I390" t="s">
        <v>473</v>
      </c>
      <c r="J390" t="s">
        <v>473</v>
      </c>
      <c r="K390" t="s">
        <v>473</v>
      </c>
      <c r="L390" t="s">
        <v>473</v>
      </c>
    </row>
    <row r="391" spans="1:12" x14ac:dyDescent="0.2">
      <c r="A391" t="s">
        <v>13</v>
      </c>
      <c r="B391" t="s">
        <v>465</v>
      </c>
      <c r="C391">
        <v>0.06</v>
      </c>
      <c r="D391" t="s">
        <v>3</v>
      </c>
      <c r="E391">
        <v>75.41</v>
      </c>
      <c r="F391">
        <f t="shared" si="6"/>
        <v>7.9565044423816469E-2</v>
      </c>
      <c r="G391" t="s">
        <v>473</v>
      </c>
      <c r="H391" t="s">
        <v>473</v>
      </c>
      <c r="I391" t="s">
        <v>473</v>
      </c>
      <c r="J391" t="s">
        <v>473</v>
      </c>
      <c r="K391" t="s">
        <v>473</v>
      </c>
      <c r="L391" t="s">
        <v>473</v>
      </c>
    </row>
    <row r="392" spans="1:12" x14ac:dyDescent="0.2">
      <c r="A392" t="s">
        <v>13</v>
      </c>
      <c r="B392" t="s">
        <v>466</v>
      </c>
      <c r="C392">
        <v>0.6</v>
      </c>
      <c r="D392" t="s">
        <v>2</v>
      </c>
      <c r="E392">
        <v>89.99</v>
      </c>
      <c r="F392">
        <f t="shared" si="6"/>
        <v>0.666740748972108</v>
      </c>
      <c r="G392" t="s">
        <v>473</v>
      </c>
      <c r="H392" t="s">
        <v>473</v>
      </c>
      <c r="I392" t="s">
        <v>473</v>
      </c>
      <c r="J392" t="s">
        <v>473</v>
      </c>
      <c r="K392" t="s">
        <v>473</v>
      </c>
      <c r="L392" t="s">
        <v>473</v>
      </c>
    </row>
    <row r="393" spans="1:12" x14ac:dyDescent="0.2">
      <c r="A393" t="s">
        <v>13</v>
      </c>
      <c r="B393" t="s">
        <v>467</v>
      </c>
      <c r="C393">
        <v>0.11</v>
      </c>
      <c r="D393" t="s">
        <v>10</v>
      </c>
      <c r="E393">
        <v>70.02</v>
      </c>
      <c r="F393">
        <f t="shared" si="6"/>
        <v>0.15709797200799774</v>
      </c>
      <c r="G393" t="s">
        <v>473</v>
      </c>
      <c r="H393" t="s">
        <v>473</v>
      </c>
      <c r="I393" t="s">
        <v>473</v>
      </c>
      <c r="J393" t="s">
        <v>473</v>
      </c>
      <c r="K393" t="s">
        <v>473</v>
      </c>
      <c r="L393" t="s">
        <v>473</v>
      </c>
    </row>
    <row r="394" spans="1:12" x14ac:dyDescent="0.2">
      <c r="A394" t="s">
        <v>13</v>
      </c>
      <c r="B394" t="s">
        <v>468</v>
      </c>
      <c r="C394">
        <v>0.28999999999999998</v>
      </c>
      <c r="D394" t="s">
        <v>2</v>
      </c>
      <c r="E394">
        <v>80.69</v>
      </c>
      <c r="F394">
        <f t="shared" si="6"/>
        <v>0.35940017350353204</v>
      </c>
      <c r="G394" t="s">
        <v>473</v>
      </c>
      <c r="H394" t="s">
        <v>473</v>
      </c>
      <c r="I394" t="s">
        <v>473</v>
      </c>
      <c r="J394" t="s">
        <v>473</v>
      </c>
      <c r="K394" t="s">
        <v>473</v>
      </c>
      <c r="L394" t="s">
        <v>473</v>
      </c>
    </row>
    <row r="395" spans="1:12" x14ac:dyDescent="0.2">
      <c r="A395" t="s">
        <v>13</v>
      </c>
      <c r="B395" t="s">
        <v>469</v>
      </c>
      <c r="C395">
        <v>7.0000000000000007E-2</v>
      </c>
      <c r="D395" t="s">
        <v>3</v>
      </c>
      <c r="E395">
        <v>54.66</v>
      </c>
      <c r="F395">
        <f t="shared" si="6"/>
        <v>0.12806439809732897</v>
      </c>
      <c r="G395" t="s">
        <v>473</v>
      </c>
      <c r="H395" t="s">
        <v>473</v>
      </c>
      <c r="I395" t="s">
        <v>473</v>
      </c>
      <c r="J395" t="s">
        <v>473</v>
      </c>
      <c r="K395" t="s">
        <v>473</v>
      </c>
      <c r="L395" t="s">
        <v>473</v>
      </c>
    </row>
    <row r="396" spans="1:12" x14ac:dyDescent="0.2">
      <c r="A396" t="s">
        <v>13</v>
      </c>
      <c r="B396" s="1" t="s">
        <v>470</v>
      </c>
      <c r="C396" s="1">
        <v>0.06</v>
      </c>
      <c r="D396" s="1" t="s">
        <v>3</v>
      </c>
      <c r="E396" s="1">
        <v>79.73</v>
      </c>
      <c r="F396">
        <f t="shared" si="6"/>
        <v>7.5253982189890878E-2</v>
      </c>
      <c r="G396" t="s">
        <v>473</v>
      </c>
      <c r="H396" t="s">
        <v>473</v>
      </c>
      <c r="I396" t="s">
        <v>473</v>
      </c>
      <c r="J396" t="s">
        <v>473</v>
      </c>
      <c r="K396" t="s">
        <v>473</v>
      </c>
      <c r="L396" t="s">
        <v>473</v>
      </c>
    </row>
    <row r="397" spans="1:12" x14ac:dyDescent="0.2">
      <c r="A397" t="s">
        <v>75</v>
      </c>
      <c r="B397" t="s">
        <v>61</v>
      </c>
      <c r="C397">
        <v>0.26</v>
      </c>
      <c r="D397" t="s">
        <v>6</v>
      </c>
      <c r="E397">
        <v>95.3</v>
      </c>
      <c r="F397">
        <f t="shared" ref="F397:F428" si="7">C397/(E397/100)</f>
        <v>0.27282266526757609</v>
      </c>
      <c r="G397" s="3" t="s">
        <v>61</v>
      </c>
      <c r="H397" t="s">
        <v>472</v>
      </c>
      <c r="I397">
        <v>0.25720127999999998</v>
      </c>
      <c r="J397">
        <v>7.9896916999999998</v>
      </c>
      <c r="K397">
        <v>2110377</v>
      </c>
      <c r="L397">
        <v>0.98533689999999996</v>
      </c>
    </row>
    <row r="398" spans="1:12" x14ac:dyDescent="0.2">
      <c r="A398" t="s">
        <v>75</v>
      </c>
      <c r="B398" t="s">
        <v>34</v>
      </c>
      <c r="C398">
        <v>1.01</v>
      </c>
      <c r="D398" t="s">
        <v>6</v>
      </c>
      <c r="E398">
        <v>98.92</v>
      </c>
      <c r="F398">
        <f t="shared" si="7"/>
        <v>1.0210270926000808</v>
      </c>
      <c r="G398" s="3" t="s">
        <v>34</v>
      </c>
      <c r="H398" t="s">
        <v>472</v>
      </c>
      <c r="I398">
        <v>0.82834200000000002</v>
      </c>
      <c r="J398">
        <v>24.258800000000001</v>
      </c>
      <c r="K398">
        <v>2099711</v>
      </c>
      <c r="L398">
        <v>0.98871595000000001</v>
      </c>
    </row>
    <row r="399" spans="1:12" x14ac:dyDescent="0.2">
      <c r="A399" t="s">
        <v>75</v>
      </c>
      <c r="B399" t="s">
        <v>38</v>
      </c>
      <c r="C399">
        <v>0.45</v>
      </c>
      <c r="D399" t="s">
        <v>6</v>
      </c>
      <c r="E399">
        <v>97.65</v>
      </c>
      <c r="F399">
        <f t="shared" si="7"/>
        <v>0.46082949308755761</v>
      </c>
      <c r="G399" s="3" t="s">
        <v>38</v>
      </c>
      <c r="H399" t="s">
        <v>472</v>
      </c>
      <c r="I399">
        <v>0.35688066000000002</v>
      </c>
      <c r="J399">
        <v>22.243479000000001</v>
      </c>
      <c r="K399">
        <v>2089284</v>
      </c>
      <c r="L399">
        <v>0.98633574999999996</v>
      </c>
    </row>
    <row r="400" spans="1:12" x14ac:dyDescent="0.2">
      <c r="A400" t="s">
        <v>75</v>
      </c>
      <c r="B400" t="s">
        <v>54</v>
      </c>
      <c r="C400">
        <v>0.14000000000000001</v>
      </c>
      <c r="D400" t="s">
        <v>76</v>
      </c>
      <c r="E400">
        <v>64.2</v>
      </c>
      <c r="F400">
        <f t="shared" si="7"/>
        <v>0.2180685358255452</v>
      </c>
      <c r="G400" s="3" t="s">
        <v>54</v>
      </c>
      <c r="H400" t="s">
        <v>472</v>
      </c>
      <c r="I400">
        <v>8.3837679999999998E-2</v>
      </c>
      <c r="J400">
        <v>8.2268609999999995</v>
      </c>
      <c r="K400">
        <v>2155848</v>
      </c>
      <c r="L400">
        <v>0.98949706999999998</v>
      </c>
    </row>
    <row r="401" spans="1:12" x14ac:dyDescent="0.2">
      <c r="A401" t="s">
        <v>75</v>
      </c>
      <c r="B401" t="s">
        <v>56</v>
      </c>
      <c r="C401">
        <v>0.11</v>
      </c>
      <c r="D401" t="s">
        <v>76</v>
      </c>
      <c r="E401">
        <v>66.87</v>
      </c>
      <c r="F401">
        <f t="shared" si="7"/>
        <v>0.16449828024525195</v>
      </c>
      <c r="G401" s="3" t="s">
        <v>56</v>
      </c>
      <c r="H401" t="s">
        <v>472</v>
      </c>
      <c r="I401">
        <v>7.8306529999999999E-2</v>
      </c>
      <c r="J401">
        <v>8.2123729999999995</v>
      </c>
      <c r="K401">
        <v>2145698</v>
      </c>
      <c r="L401">
        <v>0.99000025000000003</v>
      </c>
    </row>
    <row r="402" spans="1:12" x14ac:dyDescent="0.2">
      <c r="A402" t="s">
        <v>75</v>
      </c>
      <c r="B402" t="s">
        <v>52</v>
      </c>
      <c r="C402">
        <v>0.34</v>
      </c>
      <c r="D402" t="s">
        <v>6</v>
      </c>
      <c r="E402">
        <v>96.65</v>
      </c>
      <c r="F402">
        <f t="shared" si="7"/>
        <v>0.35178479048111744</v>
      </c>
      <c r="G402" s="3" t="s">
        <v>52</v>
      </c>
      <c r="H402" t="s">
        <v>472</v>
      </c>
      <c r="I402">
        <v>0.26378188000000002</v>
      </c>
      <c r="J402">
        <v>11.656001</v>
      </c>
      <c r="K402">
        <v>2096889</v>
      </c>
      <c r="L402">
        <v>0.98625267000000005</v>
      </c>
    </row>
    <row r="403" spans="1:12" x14ac:dyDescent="0.2">
      <c r="A403" t="s">
        <v>75</v>
      </c>
      <c r="B403" t="s">
        <v>29</v>
      </c>
      <c r="C403">
        <v>2.74</v>
      </c>
      <c r="D403" t="s">
        <v>77</v>
      </c>
      <c r="E403">
        <v>65.760000000000005</v>
      </c>
      <c r="F403">
        <f t="shared" si="7"/>
        <v>4.166666666666667</v>
      </c>
      <c r="G403" s="3" t="s">
        <v>29</v>
      </c>
      <c r="H403" t="s">
        <v>472</v>
      </c>
      <c r="I403">
        <v>1.9759785999999999</v>
      </c>
      <c r="J403">
        <v>60.911262999999998</v>
      </c>
      <c r="K403">
        <v>2306016</v>
      </c>
      <c r="L403">
        <v>0.98844885999999998</v>
      </c>
    </row>
    <row r="404" spans="1:12" x14ac:dyDescent="0.2">
      <c r="A404" t="s">
        <v>75</v>
      </c>
      <c r="B404" t="s">
        <v>69</v>
      </c>
      <c r="C404">
        <v>0.03</v>
      </c>
      <c r="D404" t="s">
        <v>77</v>
      </c>
      <c r="E404">
        <v>76.319999999999993</v>
      </c>
      <c r="F404">
        <f t="shared" si="7"/>
        <v>3.9308176100628936E-2</v>
      </c>
      <c r="G404" s="3" t="s">
        <v>69</v>
      </c>
      <c r="H404" t="s">
        <v>472</v>
      </c>
      <c r="I404">
        <v>4.3955658000000002E-2</v>
      </c>
      <c r="J404">
        <v>9.8604020000000006</v>
      </c>
      <c r="K404">
        <v>2218745</v>
      </c>
      <c r="L404">
        <v>0.97738400000000003</v>
      </c>
    </row>
    <row r="405" spans="1:12" x14ac:dyDescent="0.2">
      <c r="A405" t="s">
        <v>75</v>
      </c>
      <c r="B405" t="s">
        <v>20</v>
      </c>
      <c r="C405">
        <v>1.55</v>
      </c>
      <c r="D405" t="s">
        <v>77</v>
      </c>
      <c r="E405">
        <v>62.59</v>
      </c>
      <c r="F405">
        <f t="shared" si="7"/>
        <v>2.4764339351334077</v>
      </c>
      <c r="G405" s="3" t="s">
        <v>20</v>
      </c>
      <c r="H405" t="s">
        <v>472</v>
      </c>
      <c r="I405">
        <v>0.79607284</v>
      </c>
      <c r="J405">
        <v>157.84898000000001</v>
      </c>
      <c r="K405">
        <v>2366849</v>
      </c>
      <c r="L405">
        <v>0.98789340000000003</v>
      </c>
    </row>
    <row r="406" spans="1:12" x14ac:dyDescent="0.2">
      <c r="A406" t="s">
        <v>75</v>
      </c>
      <c r="B406" t="s">
        <v>45</v>
      </c>
      <c r="C406">
        <v>0.46</v>
      </c>
      <c r="D406" t="s">
        <v>77</v>
      </c>
      <c r="E406">
        <v>73.22</v>
      </c>
      <c r="F406">
        <f t="shared" si="7"/>
        <v>0.62824364927615417</v>
      </c>
      <c r="G406" s="3" t="s">
        <v>45</v>
      </c>
      <c r="H406" t="s">
        <v>472</v>
      </c>
      <c r="I406">
        <v>0.31108636000000001</v>
      </c>
      <c r="J406">
        <v>15.265847000000001</v>
      </c>
      <c r="K406">
        <v>2282035</v>
      </c>
      <c r="L406">
        <v>0.98422909999999997</v>
      </c>
    </row>
    <row r="407" spans="1:12" x14ac:dyDescent="0.2">
      <c r="A407" t="s">
        <v>75</v>
      </c>
      <c r="B407" t="s">
        <v>40</v>
      </c>
      <c r="C407">
        <v>0.12</v>
      </c>
      <c r="D407" t="s">
        <v>77</v>
      </c>
      <c r="E407">
        <v>76.709999999999994</v>
      </c>
      <c r="F407">
        <f t="shared" si="7"/>
        <v>0.15643332029722332</v>
      </c>
      <c r="G407" s="3" t="s">
        <v>40</v>
      </c>
      <c r="H407" t="s">
        <v>472</v>
      </c>
      <c r="I407">
        <v>0.12017918</v>
      </c>
      <c r="J407">
        <v>28.176796</v>
      </c>
      <c r="K407">
        <v>2311325</v>
      </c>
      <c r="L407">
        <v>0.98085770000000005</v>
      </c>
    </row>
    <row r="408" spans="1:12" x14ac:dyDescent="0.2">
      <c r="A408" t="s">
        <v>75</v>
      </c>
      <c r="B408" t="s">
        <v>41</v>
      </c>
      <c r="C408">
        <v>0.36</v>
      </c>
      <c r="D408" t="s">
        <v>2</v>
      </c>
      <c r="E408">
        <v>84.33</v>
      </c>
      <c r="F408">
        <f t="shared" si="7"/>
        <v>0.42689434364994666</v>
      </c>
      <c r="G408" s="3" t="s">
        <v>41</v>
      </c>
      <c r="H408" t="s">
        <v>472</v>
      </c>
      <c r="I408">
        <v>0.41362359999999998</v>
      </c>
      <c r="J408">
        <v>24.766869</v>
      </c>
      <c r="K408">
        <v>2167224</v>
      </c>
      <c r="L408">
        <v>0.98173290000000002</v>
      </c>
    </row>
    <row r="409" spans="1:12" x14ac:dyDescent="0.2">
      <c r="A409" t="s">
        <v>75</v>
      </c>
      <c r="B409" t="s">
        <v>22</v>
      </c>
      <c r="C409">
        <v>2.02</v>
      </c>
      <c r="D409" t="s">
        <v>76</v>
      </c>
      <c r="E409">
        <v>89.06</v>
      </c>
      <c r="F409">
        <f t="shared" si="7"/>
        <v>2.2681338423534694</v>
      </c>
      <c r="G409" s="3" t="s">
        <v>22</v>
      </c>
      <c r="H409" t="s">
        <v>472</v>
      </c>
      <c r="I409">
        <v>1.8899432</v>
      </c>
      <c r="J409">
        <v>121.45447</v>
      </c>
      <c r="K409">
        <v>2347742</v>
      </c>
      <c r="L409">
        <v>0.99184070000000002</v>
      </c>
    </row>
    <row r="410" spans="1:12" x14ac:dyDescent="0.2">
      <c r="A410" t="s">
        <v>75</v>
      </c>
      <c r="B410" t="s">
        <v>19</v>
      </c>
      <c r="C410">
        <v>6.11</v>
      </c>
      <c r="D410" t="s">
        <v>76</v>
      </c>
      <c r="E410">
        <v>86.06</v>
      </c>
      <c r="F410">
        <f t="shared" si="7"/>
        <v>7.0996978851963748</v>
      </c>
      <c r="G410" s="3" t="s">
        <v>19</v>
      </c>
      <c r="H410" t="s">
        <v>472</v>
      </c>
      <c r="I410">
        <v>5.3802339999999997</v>
      </c>
      <c r="J410">
        <v>321.51562999999999</v>
      </c>
      <c r="K410">
        <v>2368264</v>
      </c>
      <c r="L410">
        <v>0.99331236000000001</v>
      </c>
    </row>
    <row r="411" spans="1:12" x14ac:dyDescent="0.2">
      <c r="A411" t="s">
        <v>75</v>
      </c>
      <c r="B411" t="s">
        <v>23</v>
      </c>
      <c r="C411">
        <v>1.58</v>
      </c>
      <c r="D411" t="s">
        <v>76</v>
      </c>
      <c r="E411">
        <v>86.02</v>
      </c>
      <c r="F411">
        <f t="shared" si="7"/>
        <v>1.8367821436875147</v>
      </c>
      <c r="G411" s="3" t="s">
        <v>23</v>
      </c>
      <c r="H411" t="s">
        <v>472</v>
      </c>
      <c r="I411">
        <v>1.2628679</v>
      </c>
      <c r="J411">
        <v>99.098650000000006</v>
      </c>
      <c r="K411">
        <v>2361245</v>
      </c>
      <c r="L411">
        <v>0.99304926000000004</v>
      </c>
    </row>
    <row r="412" spans="1:12" x14ac:dyDescent="0.2">
      <c r="A412" t="s">
        <v>75</v>
      </c>
      <c r="B412" t="s">
        <v>30</v>
      </c>
      <c r="C412">
        <v>0.79</v>
      </c>
      <c r="D412" t="s">
        <v>76</v>
      </c>
      <c r="E412">
        <v>86.22</v>
      </c>
      <c r="F412">
        <f t="shared" si="7"/>
        <v>0.91626072836928796</v>
      </c>
      <c r="G412" s="3" t="s">
        <v>30</v>
      </c>
      <c r="H412" t="s">
        <v>472</v>
      </c>
      <c r="I412">
        <v>0.68657212999999995</v>
      </c>
      <c r="J412">
        <v>46.167374000000002</v>
      </c>
      <c r="K412">
        <v>2339784</v>
      </c>
      <c r="L412">
        <v>0.99277459999999995</v>
      </c>
    </row>
    <row r="413" spans="1:12" x14ac:dyDescent="0.2">
      <c r="A413" t="s">
        <v>75</v>
      </c>
      <c r="B413" t="s">
        <v>37</v>
      </c>
      <c r="C413">
        <v>0.48</v>
      </c>
      <c r="D413" t="s">
        <v>76</v>
      </c>
      <c r="E413">
        <v>85.85</v>
      </c>
      <c r="F413">
        <f t="shared" si="7"/>
        <v>0.55911473500291209</v>
      </c>
      <c r="G413" s="3" t="s">
        <v>37</v>
      </c>
      <c r="H413" t="s">
        <v>472</v>
      </c>
      <c r="I413">
        <v>0.41612347999999999</v>
      </c>
      <c r="J413">
        <v>28.516026</v>
      </c>
      <c r="K413">
        <v>2333143</v>
      </c>
      <c r="L413">
        <v>0.99209610000000004</v>
      </c>
    </row>
    <row r="414" spans="1:12" x14ac:dyDescent="0.2">
      <c r="A414" t="s">
        <v>75</v>
      </c>
      <c r="B414" t="s">
        <v>24</v>
      </c>
      <c r="C414">
        <v>1.34</v>
      </c>
      <c r="D414" t="s">
        <v>76</v>
      </c>
      <c r="E414">
        <v>86.52</v>
      </c>
      <c r="F414">
        <f t="shared" si="7"/>
        <v>1.5487748497457237</v>
      </c>
      <c r="G414" s="3" t="s">
        <v>24</v>
      </c>
      <c r="H414" t="s">
        <v>472</v>
      </c>
      <c r="I414">
        <v>1.0543172000000001</v>
      </c>
      <c r="J414">
        <v>78.439710000000005</v>
      </c>
      <c r="K414">
        <v>2328552</v>
      </c>
      <c r="L414">
        <v>0.99312674999999995</v>
      </c>
    </row>
    <row r="415" spans="1:12" x14ac:dyDescent="0.2">
      <c r="A415" t="s">
        <v>75</v>
      </c>
      <c r="B415" t="s">
        <v>42</v>
      </c>
      <c r="C415">
        <v>0.28999999999999998</v>
      </c>
      <c r="D415" t="s">
        <v>76</v>
      </c>
      <c r="E415">
        <v>82.21</v>
      </c>
      <c r="F415">
        <f t="shared" si="7"/>
        <v>0.35275513927746016</v>
      </c>
      <c r="G415" s="3" t="s">
        <v>42</v>
      </c>
      <c r="H415" t="s">
        <v>472</v>
      </c>
      <c r="I415">
        <v>1.8654900999999999</v>
      </c>
      <c r="J415">
        <v>127.8621</v>
      </c>
      <c r="K415">
        <v>1267930</v>
      </c>
      <c r="L415">
        <v>0.96809679999999998</v>
      </c>
    </row>
    <row r="416" spans="1:12" x14ac:dyDescent="0.2">
      <c r="A416" t="s">
        <v>75</v>
      </c>
      <c r="B416" t="s">
        <v>65</v>
      </c>
      <c r="C416">
        <v>0.1</v>
      </c>
      <c r="D416" t="s">
        <v>76</v>
      </c>
      <c r="E416">
        <v>79.95</v>
      </c>
      <c r="F416">
        <f t="shared" si="7"/>
        <v>0.12507817385866168</v>
      </c>
      <c r="G416" s="3" t="s">
        <v>65</v>
      </c>
      <c r="H416" t="s">
        <v>472</v>
      </c>
      <c r="I416">
        <v>0.64403639999999995</v>
      </c>
      <c r="J416">
        <v>54.845275999999998</v>
      </c>
      <c r="K416">
        <v>1258966</v>
      </c>
      <c r="L416">
        <v>0.97192824</v>
      </c>
    </row>
    <row r="417" spans="1:12" x14ac:dyDescent="0.2">
      <c r="A417" t="s">
        <v>75</v>
      </c>
      <c r="B417" t="s">
        <v>39</v>
      </c>
      <c r="C417">
        <v>0.41</v>
      </c>
      <c r="D417" t="s">
        <v>76</v>
      </c>
      <c r="E417">
        <v>82.79</v>
      </c>
      <c r="F417">
        <f t="shared" si="7"/>
        <v>0.49522889237830647</v>
      </c>
      <c r="G417" s="3" t="s">
        <v>39</v>
      </c>
      <c r="H417" t="s">
        <v>472</v>
      </c>
      <c r="I417">
        <v>2.428477</v>
      </c>
      <c r="J417">
        <v>167.10019</v>
      </c>
      <c r="K417">
        <v>1288526</v>
      </c>
      <c r="L417">
        <v>0.96985924000000001</v>
      </c>
    </row>
    <row r="418" spans="1:12" x14ac:dyDescent="0.2">
      <c r="A418" t="s">
        <v>75</v>
      </c>
      <c r="B418" t="s">
        <v>67</v>
      </c>
      <c r="C418">
        <v>0.12</v>
      </c>
      <c r="D418" t="s">
        <v>76</v>
      </c>
      <c r="E418">
        <v>85.26</v>
      </c>
      <c r="F418">
        <f t="shared" si="7"/>
        <v>0.14074595355383532</v>
      </c>
      <c r="G418" s="3" t="s">
        <v>67</v>
      </c>
      <c r="H418" t="s">
        <v>472</v>
      </c>
      <c r="I418">
        <v>0.91684270000000001</v>
      </c>
      <c r="J418">
        <v>56.393880000000003</v>
      </c>
      <c r="K418">
        <v>1262018</v>
      </c>
      <c r="L418">
        <v>0.97123300000000001</v>
      </c>
    </row>
    <row r="419" spans="1:12" x14ac:dyDescent="0.2">
      <c r="A419" t="s">
        <v>75</v>
      </c>
      <c r="B419" t="s">
        <v>32</v>
      </c>
      <c r="C419">
        <v>1.01</v>
      </c>
      <c r="D419" t="s">
        <v>76</v>
      </c>
      <c r="E419">
        <v>88.62</v>
      </c>
      <c r="F419">
        <f t="shared" si="7"/>
        <v>1.1396975851952154</v>
      </c>
      <c r="G419" s="3" t="s">
        <v>32</v>
      </c>
      <c r="H419" t="s">
        <v>472</v>
      </c>
      <c r="I419">
        <v>5.4433026</v>
      </c>
      <c r="J419">
        <v>246.392</v>
      </c>
      <c r="K419">
        <v>1301740</v>
      </c>
      <c r="L419">
        <v>0.96877049999999998</v>
      </c>
    </row>
    <row r="420" spans="1:12" x14ac:dyDescent="0.2">
      <c r="A420" t="s">
        <v>75</v>
      </c>
      <c r="B420" t="s">
        <v>63</v>
      </c>
      <c r="C420">
        <v>0.15</v>
      </c>
      <c r="D420" t="s">
        <v>2</v>
      </c>
      <c r="E420">
        <v>88.22</v>
      </c>
      <c r="F420">
        <f t="shared" si="7"/>
        <v>0.17002947177510769</v>
      </c>
      <c r="G420" s="3" t="s">
        <v>63</v>
      </c>
      <c r="H420" t="s">
        <v>472</v>
      </c>
      <c r="I420">
        <v>0.19066203000000001</v>
      </c>
      <c r="J420">
        <v>10.356567999999999</v>
      </c>
      <c r="K420">
        <v>2194965</v>
      </c>
      <c r="L420">
        <v>0.97702750000000005</v>
      </c>
    </row>
    <row r="421" spans="1:12" x14ac:dyDescent="0.2">
      <c r="A421" t="s">
        <v>75</v>
      </c>
      <c r="B421" t="s">
        <v>66</v>
      </c>
      <c r="C421">
        <v>0.15</v>
      </c>
      <c r="D421" t="s">
        <v>2</v>
      </c>
      <c r="E421">
        <v>86.29</v>
      </c>
      <c r="F421">
        <f t="shared" si="7"/>
        <v>0.17383242554177769</v>
      </c>
      <c r="G421" s="3" t="s">
        <v>66</v>
      </c>
      <c r="H421" t="s">
        <v>472</v>
      </c>
      <c r="I421">
        <v>0.15416571000000001</v>
      </c>
      <c r="J421">
        <v>8.0373590000000004</v>
      </c>
      <c r="K421">
        <v>2166266</v>
      </c>
      <c r="L421">
        <v>0.9796916</v>
      </c>
    </row>
    <row r="422" spans="1:12" x14ac:dyDescent="0.2">
      <c r="A422" t="s">
        <v>75</v>
      </c>
      <c r="B422" t="s">
        <v>60</v>
      </c>
      <c r="C422">
        <v>0.17</v>
      </c>
      <c r="D422" t="s">
        <v>2</v>
      </c>
      <c r="E422">
        <v>82.7</v>
      </c>
      <c r="F422">
        <f t="shared" si="7"/>
        <v>0.20556227327690446</v>
      </c>
      <c r="G422" s="3" t="s">
        <v>60</v>
      </c>
      <c r="H422" t="s">
        <v>472</v>
      </c>
      <c r="I422">
        <v>0.16047110000000001</v>
      </c>
      <c r="J422">
        <v>8.9657009999999993</v>
      </c>
      <c r="K422">
        <v>2144444</v>
      </c>
      <c r="L422">
        <v>0.97991649999999997</v>
      </c>
    </row>
    <row r="423" spans="1:12" x14ac:dyDescent="0.2">
      <c r="A423" t="s">
        <v>75</v>
      </c>
      <c r="B423" t="s">
        <v>58</v>
      </c>
      <c r="C423">
        <v>0.75</v>
      </c>
      <c r="D423" t="s">
        <v>6</v>
      </c>
      <c r="E423">
        <v>67.14</v>
      </c>
      <c r="F423">
        <f t="shared" si="7"/>
        <v>1.1170688114387846</v>
      </c>
      <c r="G423" s="3" t="s">
        <v>58</v>
      </c>
      <c r="H423" t="s">
        <v>473</v>
      </c>
      <c r="I423" t="s">
        <v>473</v>
      </c>
      <c r="J423" t="s">
        <v>473</v>
      </c>
      <c r="K423" t="s">
        <v>473</v>
      </c>
      <c r="L423" t="s">
        <v>473</v>
      </c>
    </row>
    <row r="424" spans="1:12" x14ac:dyDescent="0.2">
      <c r="A424" t="s">
        <v>75</v>
      </c>
      <c r="B424" t="s">
        <v>26</v>
      </c>
      <c r="C424">
        <v>0.72</v>
      </c>
      <c r="D424" t="s">
        <v>2</v>
      </c>
      <c r="E424">
        <v>89.47</v>
      </c>
      <c r="F424">
        <f t="shared" si="7"/>
        <v>0.80473901866547448</v>
      </c>
      <c r="G424" s="3" t="s">
        <v>26</v>
      </c>
      <c r="H424" t="s">
        <v>472</v>
      </c>
      <c r="I424">
        <v>0.70316970000000001</v>
      </c>
      <c r="J424">
        <v>75.927819999999997</v>
      </c>
      <c r="K424">
        <v>2234258</v>
      </c>
      <c r="L424">
        <v>0.98328817000000002</v>
      </c>
    </row>
    <row r="425" spans="1:12" x14ac:dyDescent="0.2">
      <c r="A425" t="s">
        <v>75</v>
      </c>
      <c r="B425" t="s">
        <v>18</v>
      </c>
      <c r="C425">
        <v>1.96</v>
      </c>
      <c r="D425" t="s">
        <v>76</v>
      </c>
      <c r="E425">
        <v>84.9</v>
      </c>
      <c r="F425">
        <f t="shared" si="7"/>
        <v>2.3085983510011774</v>
      </c>
      <c r="G425" s="3" t="s">
        <v>18</v>
      </c>
      <c r="H425" t="s">
        <v>472</v>
      </c>
      <c r="I425">
        <v>1.9184076000000001</v>
      </c>
      <c r="J425">
        <v>515.5883</v>
      </c>
      <c r="K425">
        <v>2355913</v>
      </c>
      <c r="L425">
        <v>0.99068769999999995</v>
      </c>
    </row>
    <row r="426" spans="1:12" x14ac:dyDescent="0.2">
      <c r="A426" t="s">
        <v>75</v>
      </c>
      <c r="B426" t="s">
        <v>17</v>
      </c>
      <c r="C426">
        <v>2.02</v>
      </c>
      <c r="D426" t="s">
        <v>76</v>
      </c>
      <c r="E426">
        <v>83.08</v>
      </c>
      <c r="F426">
        <f t="shared" si="7"/>
        <v>2.4313914299470389</v>
      </c>
      <c r="G426" s="3" t="s">
        <v>17</v>
      </c>
      <c r="H426" t="s">
        <v>472</v>
      </c>
      <c r="I426">
        <v>1.9479386000000001</v>
      </c>
      <c r="J426">
        <v>627.21950000000004</v>
      </c>
      <c r="K426">
        <v>2355020</v>
      </c>
      <c r="L426">
        <v>0.99089192999999998</v>
      </c>
    </row>
    <row r="427" spans="1:12" x14ac:dyDescent="0.2">
      <c r="A427" t="s">
        <v>75</v>
      </c>
      <c r="B427" t="s">
        <v>16</v>
      </c>
      <c r="C427">
        <v>3.64</v>
      </c>
      <c r="D427" t="s">
        <v>76</v>
      </c>
      <c r="E427">
        <v>100</v>
      </c>
      <c r="F427">
        <f t="shared" si="7"/>
        <v>3.64</v>
      </c>
      <c r="G427" s="3" t="s">
        <v>16</v>
      </c>
      <c r="H427" t="s">
        <v>472</v>
      </c>
      <c r="I427">
        <v>3.5659481999999998</v>
      </c>
      <c r="J427">
        <v>1005.7893</v>
      </c>
      <c r="K427">
        <v>2193921</v>
      </c>
      <c r="L427">
        <v>0.99273149999999999</v>
      </c>
    </row>
    <row r="428" spans="1:12" x14ac:dyDescent="0.2">
      <c r="A428" t="s">
        <v>75</v>
      </c>
      <c r="B428" t="s">
        <v>15</v>
      </c>
      <c r="C428">
        <v>3.68</v>
      </c>
      <c r="D428" t="s">
        <v>76</v>
      </c>
      <c r="E428">
        <v>100</v>
      </c>
      <c r="F428">
        <f t="shared" si="7"/>
        <v>3.68</v>
      </c>
      <c r="G428" s="3" t="s">
        <v>15</v>
      </c>
      <c r="H428" t="s">
        <v>472</v>
      </c>
      <c r="I428">
        <v>3.5354492999999998</v>
      </c>
      <c r="J428">
        <v>1312.5007000000001</v>
      </c>
      <c r="K428">
        <v>2195376</v>
      </c>
      <c r="L428">
        <v>0.99272733999999996</v>
      </c>
    </row>
    <row r="429" spans="1:12" x14ac:dyDescent="0.2">
      <c r="A429" t="s">
        <v>75</v>
      </c>
      <c r="B429" t="s">
        <v>47</v>
      </c>
      <c r="C429">
        <v>0.44</v>
      </c>
      <c r="D429" t="s">
        <v>8</v>
      </c>
      <c r="E429">
        <v>97.52</v>
      </c>
      <c r="F429">
        <f t="shared" ref="F429:F456" si="8">C429/(E429/100)</f>
        <v>0.45118949958982774</v>
      </c>
      <c r="G429" s="3" t="s">
        <v>47</v>
      </c>
      <c r="H429" t="s">
        <v>472</v>
      </c>
      <c r="I429">
        <v>0.3901597</v>
      </c>
      <c r="J429">
        <v>17.600206</v>
      </c>
      <c r="K429">
        <v>2153223</v>
      </c>
      <c r="L429">
        <v>0.97858940000000005</v>
      </c>
    </row>
    <row r="430" spans="1:12" x14ac:dyDescent="0.2">
      <c r="A430" t="s">
        <v>75</v>
      </c>
      <c r="B430" t="s">
        <v>33</v>
      </c>
      <c r="C430">
        <v>0.66</v>
      </c>
      <c r="D430" t="s">
        <v>8</v>
      </c>
      <c r="E430">
        <v>95.89</v>
      </c>
      <c r="F430">
        <f t="shared" si="8"/>
        <v>0.68828866409427469</v>
      </c>
      <c r="G430" s="3" t="s">
        <v>33</v>
      </c>
      <c r="H430" t="s">
        <v>472</v>
      </c>
      <c r="I430">
        <v>0.58250206999999998</v>
      </c>
      <c r="J430">
        <v>27.159732999999999</v>
      </c>
      <c r="K430">
        <v>2151370</v>
      </c>
      <c r="L430">
        <v>0.98369205000000004</v>
      </c>
    </row>
    <row r="431" spans="1:12" x14ac:dyDescent="0.2">
      <c r="A431" t="s">
        <v>75</v>
      </c>
      <c r="B431" t="s">
        <v>59</v>
      </c>
      <c r="C431">
        <v>0.24</v>
      </c>
      <c r="D431" t="s">
        <v>8</v>
      </c>
      <c r="E431">
        <v>96.33</v>
      </c>
      <c r="F431">
        <f t="shared" si="8"/>
        <v>0.24914356898162568</v>
      </c>
      <c r="G431" s="3" t="s">
        <v>59</v>
      </c>
      <c r="H431" t="s">
        <v>472</v>
      </c>
      <c r="I431">
        <v>0.19822559000000001</v>
      </c>
      <c r="J431">
        <v>9.1726884999999996</v>
      </c>
      <c r="K431">
        <v>2135503</v>
      </c>
      <c r="L431">
        <v>0.9758751</v>
      </c>
    </row>
    <row r="432" spans="1:12" x14ac:dyDescent="0.2">
      <c r="A432" t="s">
        <v>75</v>
      </c>
      <c r="B432" t="s">
        <v>50</v>
      </c>
      <c r="C432">
        <v>0.37</v>
      </c>
      <c r="D432" t="s">
        <v>8</v>
      </c>
      <c r="E432">
        <v>78.010000000000005</v>
      </c>
      <c r="F432">
        <f t="shared" si="8"/>
        <v>0.47429816690167925</v>
      </c>
      <c r="G432" s="3" t="s">
        <v>50</v>
      </c>
      <c r="H432" t="s">
        <v>472</v>
      </c>
      <c r="I432">
        <v>0.37519609999999998</v>
      </c>
      <c r="J432">
        <v>16.894829000000001</v>
      </c>
      <c r="K432">
        <v>2153136</v>
      </c>
      <c r="L432">
        <v>0.97526586000000004</v>
      </c>
    </row>
    <row r="433" spans="1:12" x14ac:dyDescent="0.2">
      <c r="A433" t="s">
        <v>75</v>
      </c>
      <c r="B433" t="s">
        <v>43</v>
      </c>
      <c r="C433">
        <v>0.38</v>
      </c>
      <c r="D433" t="s">
        <v>8</v>
      </c>
      <c r="E433">
        <v>98.73</v>
      </c>
      <c r="F433">
        <f t="shared" si="8"/>
        <v>0.38488807859819707</v>
      </c>
      <c r="G433" s="3" t="s">
        <v>43</v>
      </c>
      <c r="H433" t="s">
        <v>472</v>
      </c>
      <c r="I433">
        <v>0.34633350000000002</v>
      </c>
      <c r="J433">
        <v>16.812705999999999</v>
      </c>
      <c r="K433">
        <v>2143972</v>
      </c>
      <c r="L433">
        <v>0.98060290000000006</v>
      </c>
    </row>
    <row r="434" spans="1:12" x14ac:dyDescent="0.2">
      <c r="A434" t="s">
        <v>75</v>
      </c>
      <c r="B434" t="s">
        <v>49</v>
      </c>
      <c r="C434">
        <v>0.99</v>
      </c>
      <c r="D434" t="s">
        <v>6</v>
      </c>
      <c r="E434">
        <v>84.06</v>
      </c>
      <c r="F434">
        <f t="shared" si="8"/>
        <v>1.1777301927194861</v>
      </c>
      <c r="G434" s="3" t="s">
        <v>49</v>
      </c>
      <c r="H434" t="s">
        <v>472</v>
      </c>
      <c r="I434">
        <v>0.69313219999999998</v>
      </c>
      <c r="J434">
        <v>12.787347</v>
      </c>
      <c r="K434">
        <v>2100432</v>
      </c>
      <c r="L434">
        <v>0.98788494000000004</v>
      </c>
    </row>
    <row r="435" spans="1:12" x14ac:dyDescent="0.2">
      <c r="A435" t="s">
        <v>75</v>
      </c>
      <c r="B435" t="s">
        <v>46</v>
      </c>
      <c r="C435">
        <v>0.36</v>
      </c>
      <c r="D435" t="s">
        <v>76</v>
      </c>
      <c r="E435">
        <v>88.87</v>
      </c>
      <c r="F435">
        <f t="shared" si="8"/>
        <v>0.40508608079216829</v>
      </c>
      <c r="G435" s="3" t="s">
        <v>46</v>
      </c>
      <c r="H435" t="s">
        <v>472</v>
      </c>
      <c r="I435">
        <v>0.29767727999999999</v>
      </c>
      <c r="J435">
        <v>13.9568615</v>
      </c>
      <c r="K435">
        <v>2281874</v>
      </c>
      <c r="L435">
        <v>0.98885489999999998</v>
      </c>
    </row>
    <row r="436" spans="1:12" x14ac:dyDescent="0.2">
      <c r="A436" t="s">
        <v>75</v>
      </c>
      <c r="B436" t="s">
        <v>72</v>
      </c>
      <c r="C436">
        <v>0.1</v>
      </c>
      <c r="D436" t="s">
        <v>76</v>
      </c>
      <c r="E436">
        <v>81.96</v>
      </c>
      <c r="F436">
        <f t="shared" si="8"/>
        <v>0.12201073694485116</v>
      </c>
      <c r="G436" s="3" t="s">
        <v>72</v>
      </c>
      <c r="H436" t="s">
        <v>472</v>
      </c>
      <c r="I436">
        <v>0.20461957</v>
      </c>
      <c r="J436">
        <v>9.9312950000000004</v>
      </c>
      <c r="K436">
        <v>2244513</v>
      </c>
      <c r="L436">
        <v>0.97383690000000001</v>
      </c>
    </row>
    <row r="437" spans="1:12" x14ac:dyDescent="0.2">
      <c r="A437" t="s">
        <v>75</v>
      </c>
      <c r="B437" t="s">
        <v>48</v>
      </c>
      <c r="C437">
        <v>0.11</v>
      </c>
      <c r="D437" t="s">
        <v>3</v>
      </c>
      <c r="E437">
        <v>87.65</v>
      </c>
      <c r="F437">
        <f t="shared" si="8"/>
        <v>0.12549914432401596</v>
      </c>
      <c r="G437" s="3" t="s">
        <v>48</v>
      </c>
      <c r="H437" t="s">
        <v>472</v>
      </c>
      <c r="I437">
        <v>6.7869139999999994E-2</v>
      </c>
      <c r="J437">
        <v>13.729616</v>
      </c>
      <c r="K437">
        <v>2053548</v>
      </c>
      <c r="L437">
        <v>0.97976242999999996</v>
      </c>
    </row>
    <row r="438" spans="1:12" x14ac:dyDescent="0.2">
      <c r="A438" t="s">
        <v>75</v>
      </c>
      <c r="B438" t="s">
        <v>68</v>
      </c>
      <c r="C438">
        <v>0.04</v>
      </c>
      <c r="D438" t="s">
        <v>3</v>
      </c>
      <c r="E438">
        <v>81.849999999999994</v>
      </c>
      <c r="F438">
        <f t="shared" si="8"/>
        <v>4.8869883934025665E-2</v>
      </c>
      <c r="G438" s="3" t="s">
        <v>68</v>
      </c>
      <c r="H438" t="s">
        <v>472</v>
      </c>
      <c r="I438">
        <v>3.9216479999999998E-2</v>
      </c>
      <c r="J438">
        <v>7.8703599999999998</v>
      </c>
      <c r="K438">
        <v>2032251</v>
      </c>
      <c r="L438">
        <v>0.97210949999999996</v>
      </c>
    </row>
    <row r="439" spans="1:12" x14ac:dyDescent="0.2">
      <c r="A439" t="s">
        <v>75</v>
      </c>
      <c r="B439" t="s">
        <v>28</v>
      </c>
      <c r="C439">
        <v>2.74</v>
      </c>
      <c r="D439" t="s">
        <v>77</v>
      </c>
      <c r="E439">
        <v>65.760000000000005</v>
      </c>
      <c r="F439">
        <f t="shared" si="8"/>
        <v>4.166666666666667</v>
      </c>
      <c r="G439" s="3" t="s">
        <v>28</v>
      </c>
      <c r="H439" t="s">
        <v>472</v>
      </c>
      <c r="I439">
        <v>1.9759785999999999</v>
      </c>
      <c r="J439">
        <v>60.911262999999998</v>
      </c>
      <c r="K439">
        <v>2306016</v>
      </c>
      <c r="L439">
        <v>0.98844885999999998</v>
      </c>
    </row>
    <row r="440" spans="1:12" x14ac:dyDescent="0.2">
      <c r="A440" t="s">
        <v>75</v>
      </c>
      <c r="B440" t="s">
        <v>70</v>
      </c>
      <c r="C440">
        <v>0.25</v>
      </c>
      <c r="D440" t="s">
        <v>77</v>
      </c>
      <c r="E440">
        <v>68.78</v>
      </c>
      <c r="F440">
        <f t="shared" si="8"/>
        <v>0.36347775516138414</v>
      </c>
      <c r="G440" s="3" t="s">
        <v>70</v>
      </c>
      <c r="H440" t="s">
        <v>472</v>
      </c>
      <c r="I440">
        <v>0.44348386000000001</v>
      </c>
      <c r="J440">
        <v>12.031375000000001</v>
      </c>
      <c r="K440">
        <v>2248983</v>
      </c>
      <c r="L440">
        <v>0.98337494999999997</v>
      </c>
    </row>
    <row r="441" spans="1:12" x14ac:dyDescent="0.2">
      <c r="A441" t="s">
        <v>75</v>
      </c>
      <c r="B441" t="s">
        <v>25</v>
      </c>
      <c r="C441">
        <v>0.27</v>
      </c>
      <c r="D441" t="s">
        <v>76</v>
      </c>
      <c r="E441">
        <v>87.77</v>
      </c>
      <c r="F441">
        <f t="shared" si="8"/>
        <v>0.30762219437165322</v>
      </c>
      <c r="G441" s="3" t="s">
        <v>25</v>
      </c>
      <c r="H441" t="s">
        <v>472</v>
      </c>
      <c r="I441">
        <v>0.22710607999999999</v>
      </c>
      <c r="J441">
        <v>71.432169999999999</v>
      </c>
      <c r="K441">
        <v>2370200</v>
      </c>
      <c r="L441">
        <v>0.98663014000000004</v>
      </c>
    </row>
    <row r="442" spans="1:12" x14ac:dyDescent="0.2">
      <c r="A442" t="s">
        <v>75</v>
      </c>
      <c r="B442" t="s">
        <v>35</v>
      </c>
      <c r="C442">
        <v>0.09</v>
      </c>
      <c r="D442" t="s">
        <v>76</v>
      </c>
      <c r="E442">
        <v>83.66</v>
      </c>
      <c r="F442">
        <f t="shared" si="8"/>
        <v>0.10757829309108295</v>
      </c>
      <c r="G442" s="3" t="s">
        <v>35</v>
      </c>
      <c r="H442" t="s">
        <v>472</v>
      </c>
      <c r="I442">
        <v>7.9969579999999998E-2</v>
      </c>
      <c r="J442">
        <v>30.181989999999999</v>
      </c>
      <c r="K442">
        <v>2340007</v>
      </c>
      <c r="L442">
        <v>0.98284550000000004</v>
      </c>
    </row>
    <row r="443" spans="1:12" x14ac:dyDescent="0.2">
      <c r="A443" t="s">
        <v>75</v>
      </c>
      <c r="B443" t="s">
        <v>53</v>
      </c>
      <c r="C443">
        <v>0.03</v>
      </c>
      <c r="D443" t="s">
        <v>76</v>
      </c>
      <c r="E443">
        <v>86.19</v>
      </c>
      <c r="F443">
        <f t="shared" si="8"/>
        <v>3.4806822137138878E-2</v>
      </c>
      <c r="G443" s="3" t="s">
        <v>53</v>
      </c>
      <c r="H443" t="s">
        <v>472</v>
      </c>
      <c r="I443">
        <v>4.4624410000000003E-2</v>
      </c>
      <c r="J443">
        <v>18.260567000000002</v>
      </c>
      <c r="K443">
        <v>2310077</v>
      </c>
      <c r="L443">
        <v>0.97459083999999996</v>
      </c>
    </row>
    <row r="444" spans="1:12" x14ac:dyDescent="0.2">
      <c r="A444" t="s">
        <v>75</v>
      </c>
      <c r="B444" t="s">
        <v>27</v>
      </c>
      <c r="C444">
        <v>0.08</v>
      </c>
      <c r="D444" t="s">
        <v>76</v>
      </c>
      <c r="E444">
        <v>88.57</v>
      </c>
      <c r="F444">
        <f t="shared" si="8"/>
        <v>9.0324037484475567E-2</v>
      </c>
      <c r="G444" s="3" t="s">
        <v>27</v>
      </c>
      <c r="H444" t="s">
        <v>472</v>
      </c>
      <c r="I444">
        <v>7.9371650000000002E-2</v>
      </c>
      <c r="J444">
        <v>62.801833999999999</v>
      </c>
      <c r="K444">
        <v>2357397</v>
      </c>
      <c r="L444">
        <v>0.98178989999999999</v>
      </c>
    </row>
    <row r="445" spans="1:12" x14ac:dyDescent="0.2">
      <c r="A445" t="s">
        <v>75</v>
      </c>
      <c r="B445" t="s">
        <v>57</v>
      </c>
      <c r="C445">
        <v>0.22</v>
      </c>
      <c r="D445" t="s">
        <v>6</v>
      </c>
      <c r="E445">
        <v>93.08</v>
      </c>
      <c r="F445">
        <f t="shared" si="8"/>
        <v>0.23635582294800173</v>
      </c>
      <c r="G445" s="3" t="s">
        <v>57</v>
      </c>
      <c r="H445" t="s">
        <v>472</v>
      </c>
      <c r="I445">
        <v>0.17068657000000001</v>
      </c>
      <c r="J445">
        <v>9.4760349999999995</v>
      </c>
      <c r="K445">
        <v>1965732</v>
      </c>
      <c r="L445">
        <v>0.98130393000000005</v>
      </c>
    </row>
    <row r="446" spans="1:12" x14ac:dyDescent="0.2">
      <c r="A446" t="s">
        <v>75</v>
      </c>
      <c r="B446" t="s">
        <v>51</v>
      </c>
      <c r="C446">
        <v>0.27</v>
      </c>
      <c r="D446" t="s">
        <v>8</v>
      </c>
      <c r="E446">
        <v>82.88</v>
      </c>
      <c r="F446">
        <f t="shared" si="8"/>
        <v>0.32577220077220082</v>
      </c>
      <c r="G446" s="3" t="s">
        <v>51</v>
      </c>
      <c r="H446" t="s">
        <v>472</v>
      </c>
      <c r="I446">
        <v>0.29318652000000001</v>
      </c>
      <c r="J446">
        <v>15.520981000000001</v>
      </c>
      <c r="K446">
        <v>2235625</v>
      </c>
      <c r="L446">
        <v>0.97295900000000002</v>
      </c>
    </row>
    <row r="447" spans="1:12" x14ac:dyDescent="0.2">
      <c r="A447" t="s">
        <v>75</v>
      </c>
      <c r="B447" t="s">
        <v>55</v>
      </c>
      <c r="C447">
        <v>0.24</v>
      </c>
      <c r="D447" t="s">
        <v>8</v>
      </c>
      <c r="E447">
        <v>89.64</v>
      </c>
      <c r="F447">
        <f t="shared" si="8"/>
        <v>0.2677376171352075</v>
      </c>
      <c r="G447" s="3" t="s">
        <v>55</v>
      </c>
      <c r="H447" t="s">
        <v>472</v>
      </c>
      <c r="I447">
        <v>0.32955994999999999</v>
      </c>
      <c r="J447">
        <v>13.932162</v>
      </c>
      <c r="K447">
        <v>2226359</v>
      </c>
      <c r="L447">
        <v>0.96923316000000004</v>
      </c>
    </row>
    <row r="448" spans="1:12" x14ac:dyDescent="0.2">
      <c r="A448" t="s">
        <v>75</v>
      </c>
      <c r="B448" t="s">
        <v>73</v>
      </c>
      <c r="C448">
        <v>0.15</v>
      </c>
      <c r="D448" t="s">
        <v>8</v>
      </c>
      <c r="E448">
        <v>58.95</v>
      </c>
      <c r="F448">
        <f t="shared" si="8"/>
        <v>0.2544529262086514</v>
      </c>
      <c r="G448" s="3" t="s">
        <v>73</v>
      </c>
      <c r="H448" t="s">
        <v>472</v>
      </c>
      <c r="I448">
        <v>0.16574056000000001</v>
      </c>
      <c r="J448">
        <v>8.0794739999999994</v>
      </c>
      <c r="K448">
        <v>2141508</v>
      </c>
      <c r="L448">
        <v>0.96778850000000005</v>
      </c>
    </row>
    <row r="449" spans="1:12" x14ac:dyDescent="0.2">
      <c r="A449" t="s">
        <v>75</v>
      </c>
      <c r="B449" t="s">
        <v>44</v>
      </c>
      <c r="C449">
        <v>0.46</v>
      </c>
      <c r="D449" t="s">
        <v>8</v>
      </c>
      <c r="E449">
        <v>86.95</v>
      </c>
      <c r="F449">
        <f t="shared" si="8"/>
        <v>0.52903967797584817</v>
      </c>
      <c r="G449" s="3" t="s">
        <v>44</v>
      </c>
      <c r="H449" t="s">
        <v>472</v>
      </c>
      <c r="I449">
        <v>0.46342155000000002</v>
      </c>
      <c r="J449">
        <v>20.222033</v>
      </c>
      <c r="K449">
        <v>2247185</v>
      </c>
      <c r="L449">
        <v>0.97623605000000002</v>
      </c>
    </row>
    <row r="450" spans="1:12" x14ac:dyDescent="0.2">
      <c r="A450" t="s">
        <v>75</v>
      </c>
      <c r="B450" t="s">
        <v>74</v>
      </c>
      <c r="C450">
        <v>0.21</v>
      </c>
      <c r="D450" t="s">
        <v>3</v>
      </c>
      <c r="E450">
        <v>75.06</v>
      </c>
      <c r="F450">
        <f t="shared" si="8"/>
        <v>0.27977617905675456</v>
      </c>
      <c r="G450" s="3" t="s">
        <v>74</v>
      </c>
      <c r="H450" t="s">
        <v>472</v>
      </c>
      <c r="I450">
        <v>0.12888827999999999</v>
      </c>
      <c r="J450">
        <v>3.5327654000000002</v>
      </c>
      <c r="K450">
        <v>2071083</v>
      </c>
      <c r="L450">
        <v>0.98318019999999995</v>
      </c>
    </row>
    <row r="451" spans="1:12" x14ac:dyDescent="0.2">
      <c r="A451" t="s">
        <v>75</v>
      </c>
      <c r="B451" t="s">
        <v>62</v>
      </c>
      <c r="C451">
        <v>0.24</v>
      </c>
      <c r="D451" t="s">
        <v>6</v>
      </c>
      <c r="E451">
        <v>93.7</v>
      </c>
      <c r="F451">
        <f t="shared" si="8"/>
        <v>0.25613660618996797</v>
      </c>
      <c r="G451" s="3" t="s">
        <v>62</v>
      </c>
      <c r="H451" t="s">
        <v>472</v>
      </c>
      <c r="I451">
        <v>0.15443130999999999</v>
      </c>
      <c r="J451">
        <v>6.8199744000000004</v>
      </c>
      <c r="K451">
        <v>2089891</v>
      </c>
      <c r="L451">
        <v>0.98425030000000002</v>
      </c>
    </row>
    <row r="452" spans="1:12" x14ac:dyDescent="0.2">
      <c r="A452" t="s">
        <v>75</v>
      </c>
      <c r="B452" t="s">
        <v>71</v>
      </c>
      <c r="C452">
        <v>0.08</v>
      </c>
      <c r="D452" t="s">
        <v>76</v>
      </c>
      <c r="E452">
        <v>87.34</v>
      </c>
      <c r="F452">
        <f t="shared" si="8"/>
        <v>9.1596061369361118E-2</v>
      </c>
      <c r="G452" s="3" t="s">
        <v>71</v>
      </c>
      <c r="H452" t="s">
        <v>472</v>
      </c>
      <c r="I452">
        <v>0.2341453</v>
      </c>
      <c r="J452">
        <v>15.702393000000001</v>
      </c>
      <c r="K452">
        <v>2222724</v>
      </c>
      <c r="L452">
        <v>0.98077314999999998</v>
      </c>
    </row>
    <row r="453" spans="1:12" x14ac:dyDescent="0.2">
      <c r="A453" t="s">
        <v>75</v>
      </c>
      <c r="B453" t="s">
        <v>64</v>
      </c>
      <c r="C453">
        <v>0.09</v>
      </c>
      <c r="D453" t="s">
        <v>76</v>
      </c>
      <c r="E453">
        <v>86.04</v>
      </c>
      <c r="F453">
        <f t="shared" si="8"/>
        <v>0.10460251046025104</v>
      </c>
      <c r="G453" s="3" t="s">
        <v>64</v>
      </c>
      <c r="H453" t="s">
        <v>472</v>
      </c>
      <c r="I453">
        <v>0.2207673</v>
      </c>
      <c r="J453">
        <v>15.615985</v>
      </c>
      <c r="K453">
        <v>2228822</v>
      </c>
      <c r="L453">
        <v>0.98195063999999999</v>
      </c>
    </row>
    <row r="454" spans="1:12" x14ac:dyDescent="0.2">
      <c r="A454" t="s">
        <v>75</v>
      </c>
      <c r="B454" t="s">
        <v>36</v>
      </c>
      <c r="C454">
        <v>3.4</v>
      </c>
      <c r="D454" t="s">
        <v>6</v>
      </c>
      <c r="E454">
        <v>100</v>
      </c>
      <c r="F454">
        <f t="shared" si="8"/>
        <v>3.4</v>
      </c>
      <c r="G454" s="3" t="s">
        <v>36</v>
      </c>
      <c r="H454" t="s">
        <v>472</v>
      </c>
      <c r="I454">
        <v>2.040375</v>
      </c>
      <c r="J454">
        <v>23.336818999999998</v>
      </c>
      <c r="K454">
        <v>2089348</v>
      </c>
      <c r="L454">
        <v>0.9911835</v>
      </c>
    </row>
    <row r="455" spans="1:12" x14ac:dyDescent="0.2">
      <c r="A455" t="s">
        <v>75</v>
      </c>
      <c r="B455" t="s">
        <v>31</v>
      </c>
      <c r="C455">
        <v>3.38</v>
      </c>
      <c r="D455" t="s">
        <v>6</v>
      </c>
      <c r="E455">
        <v>97.85</v>
      </c>
      <c r="F455">
        <f t="shared" si="8"/>
        <v>3.4542667347981606</v>
      </c>
      <c r="G455" s="3" t="s">
        <v>31</v>
      </c>
      <c r="H455" t="s">
        <v>472</v>
      </c>
      <c r="I455">
        <v>2.109645</v>
      </c>
      <c r="J455">
        <v>34.885714999999998</v>
      </c>
      <c r="K455">
        <v>2090536</v>
      </c>
      <c r="L455">
        <v>0.9914849</v>
      </c>
    </row>
    <row r="456" spans="1:12" x14ac:dyDescent="0.2">
      <c r="A456" t="s">
        <v>75</v>
      </c>
      <c r="B456" s="1" t="s">
        <v>21</v>
      </c>
      <c r="C456" s="1">
        <v>3.36</v>
      </c>
      <c r="D456" s="1" t="s">
        <v>76</v>
      </c>
      <c r="E456" s="1">
        <v>83.53</v>
      </c>
      <c r="F456">
        <f t="shared" si="8"/>
        <v>4.0225068837543398</v>
      </c>
      <c r="G456" s="3" t="s">
        <v>21</v>
      </c>
      <c r="H456" t="s">
        <v>472</v>
      </c>
      <c r="I456">
        <v>7.968083</v>
      </c>
      <c r="J456">
        <v>338.20916999999997</v>
      </c>
      <c r="K456">
        <v>2259334</v>
      </c>
      <c r="L456">
        <v>0.97186249999999996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C1D9-2DC6-D641-B5F1-56BF08B9383C}">
  <dimension ref="A1:G463"/>
  <sheetViews>
    <sheetView topLeftCell="A450" workbookViewId="0">
      <selection sqref="A1:G463"/>
    </sheetView>
  </sheetViews>
  <sheetFormatPr baseColWidth="10" defaultRowHeight="16" x14ac:dyDescent="0.2"/>
  <sheetData>
    <row r="1" spans="1:7" x14ac:dyDescent="0.2">
      <c r="A1" s="4" t="s">
        <v>480</v>
      </c>
      <c r="B1" s="4" t="s">
        <v>481</v>
      </c>
      <c r="C1" s="4" t="s">
        <v>482</v>
      </c>
      <c r="D1" s="4" t="s">
        <v>483</v>
      </c>
      <c r="E1" s="4" t="s">
        <v>484</v>
      </c>
      <c r="F1" s="5" t="s">
        <v>485</v>
      </c>
      <c r="G1" s="4" t="s">
        <v>486</v>
      </c>
    </row>
    <row r="2" spans="1:7" x14ac:dyDescent="0.2">
      <c r="A2" s="6" t="s">
        <v>487</v>
      </c>
      <c r="B2" s="6" t="s">
        <v>488</v>
      </c>
      <c r="C2" s="6" t="s">
        <v>75</v>
      </c>
      <c r="D2" s="6" t="s">
        <v>489</v>
      </c>
      <c r="E2" s="6" t="s">
        <v>490</v>
      </c>
      <c r="F2" s="6">
        <v>0</v>
      </c>
      <c r="G2" s="6">
        <v>81.5540807</v>
      </c>
    </row>
    <row r="3" spans="1:7" x14ac:dyDescent="0.2">
      <c r="A3" s="6" t="s">
        <v>487</v>
      </c>
      <c r="B3" s="6" t="s">
        <v>488</v>
      </c>
      <c r="C3" s="6" t="s">
        <v>75</v>
      </c>
      <c r="D3" s="6" t="s">
        <v>491</v>
      </c>
      <c r="E3" s="6" t="s">
        <v>490</v>
      </c>
      <c r="F3" s="6">
        <v>0</v>
      </c>
      <c r="G3" s="6">
        <v>136.45624100000001</v>
      </c>
    </row>
    <row r="4" spans="1:7" x14ac:dyDescent="0.2">
      <c r="A4" s="6" t="s">
        <v>487</v>
      </c>
      <c r="B4" s="6" t="s">
        <v>488</v>
      </c>
      <c r="C4" s="6" t="s">
        <v>75</v>
      </c>
      <c r="D4" s="6" t="s">
        <v>492</v>
      </c>
      <c r="E4" s="6" t="s">
        <v>490</v>
      </c>
      <c r="F4" s="6">
        <v>0</v>
      </c>
      <c r="G4" s="6">
        <v>119.11475900000001</v>
      </c>
    </row>
    <row r="5" spans="1:7" x14ac:dyDescent="0.2">
      <c r="A5" s="6" t="s">
        <v>487</v>
      </c>
      <c r="B5" s="6" t="s">
        <v>488</v>
      </c>
      <c r="C5" s="6" t="s">
        <v>75</v>
      </c>
      <c r="D5" s="6" t="s">
        <v>489</v>
      </c>
      <c r="E5" s="6" t="s">
        <v>490</v>
      </c>
      <c r="F5" s="6">
        <v>24</v>
      </c>
      <c r="G5" s="6">
        <v>134.56734900000001</v>
      </c>
    </row>
    <row r="6" spans="1:7" x14ac:dyDescent="0.2">
      <c r="A6" s="6" t="s">
        <v>487</v>
      </c>
      <c r="B6" s="6" t="s">
        <v>488</v>
      </c>
      <c r="C6" s="6" t="s">
        <v>75</v>
      </c>
      <c r="D6" s="6" t="s">
        <v>491</v>
      </c>
      <c r="E6" s="6" t="s">
        <v>490</v>
      </c>
      <c r="F6" s="6">
        <v>24</v>
      </c>
      <c r="G6" s="6">
        <v>144.59120200000001</v>
      </c>
    </row>
    <row r="7" spans="1:7" x14ac:dyDescent="0.2">
      <c r="A7" s="6" t="s">
        <v>487</v>
      </c>
      <c r="B7" s="6" t="s">
        <v>488</v>
      </c>
      <c r="C7" s="6" t="s">
        <v>75</v>
      </c>
      <c r="D7" s="6" t="s">
        <v>492</v>
      </c>
      <c r="E7" s="6" t="s">
        <v>490</v>
      </c>
      <c r="F7" s="6">
        <v>24</v>
      </c>
      <c r="G7" s="6">
        <v>135.032701</v>
      </c>
    </row>
    <row r="8" spans="1:7" x14ac:dyDescent="0.2">
      <c r="A8" s="6" t="s">
        <v>487</v>
      </c>
      <c r="B8" s="6" t="s">
        <v>488</v>
      </c>
      <c r="C8" s="6" t="s">
        <v>75</v>
      </c>
      <c r="D8" s="6" t="s">
        <v>489</v>
      </c>
      <c r="E8" s="6" t="s">
        <v>490</v>
      </c>
      <c r="F8" s="6">
        <v>48</v>
      </c>
      <c r="G8" s="6">
        <v>135.88791599999999</v>
      </c>
    </row>
    <row r="9" spans="1:7" x14ac:dyDescent="0.2">
      <c r="A9" s="6" t="s">
        <v>487</v>
      </c>
      <c r="B9" s="6" t="s">
        <v>488</v>
      </c>
      <c r="C9" s="6" t="s">
        <v>75</v>
      </c>
      <c r="D9" s="6" t="s">
        <v>491</v>
      </c>
      <c r="E9" s="6" t="s">
        <v>490</v>
      </c>
      <c r="F9" s="6">
        <v>48</v>
      </c>
      <c r="G9" s="6">
        <v>143.409424</v>
      </c>
    </row>
    <row r="10" spans="1:7" x14ac:dyDescent="0.2">
      <c r="A10" s="6" t="s">
        <v>487</v>
      </c>
      <c r="B10" s="6" t="s">
        <v>488</v>
      </c>
      <c r="C10" s="6" t="s">
        <v>75</v>
      </c>
      <c r="D10" s="6" t="s">
        <v>492</v>
      </c>
      <c r="E10" s="6" t="s">
        <v>490</v>
      </c>
      <c r="F10" s="6">
        <v>48</v>
      </c>
      <c r="G10" s="6">
        <v>133.88000500000001</v>
      </c>
    </row>
    <row r="11" spans="1:7" x14ac:dyDescent="0.2">
      <c r="A11" s="6" t="s">
        <v>487</v>
      </c>
      <c r="B11" s="6" t="s">
        <v>488</v>
      </c>
      <c r="C11" s="6" t="s">
        <v>75</v>
      </c>
      <c r="D11" s="6" t="s">
        <v>489</v>
      </c>
      <c r="E11" s="6" t="s">
        <v>490</v>
      </c>
      <c r="F11" s="6">
        <v>72</v>
      </c>
      <c r="G11" s="6">
        <v>140.06671700000001</v>
      </c>
    </row>
    <row r="12" spans="1:7" x14ac:dyDescent="0.2">
      <c r="A12" s="6" t="s">
        <v>487</v>
      </c>
      <c r="B12" s="6" t="s">
        <v>488</v>
      </c>
      <c r="C12" s="6" t="s">
        <v>75</v>
      </c>
      <c r="D12" s="6" t="s">
        <v>491</v>
      </c>
      <c r="E12" s="6" t="s">
        <v>490</v>
      </c>
      <c r="F12" s="6">
        <v>72</v>
      </c>
      <c r="G12" s="6">
        <v>141.255731</v>
      </c>
    </row>
    <row r="13" spans="1:7" x14ac:dyDescent="0.2">
      <c r="A13" s="6" t="s">
        <v>487</v>
      </c>
      <c r="B13" s="6" t="s">
        <v>488</v>
      </c>
      <c r="C13" s="6" t="s">
        <v>75</v>
      </c>
      <c r="D13" s="6" t="s">
        <v>492</v>
      </c>
      <c r="E13" s="6" t="s">
        <v>490</v>
      </c>
      <c r="F13" s="6">
        <v>72</v>
      </c>
      <c r="G13" s="6">
        <v>146.85028199999999</v>
      </c>
    </row>
    <row r="14" spans="1:7" x14ac:dyDescent="0.2">
      <c r="A14" s="6" t="s">
        <v>487</v>
      </c>
      <c r="B14" s="6" t="s">
        <v>488</v>
      </c>
      <c r="C14" s="6" t="s">
        <v>75</v>
      </c>
      <c r="D14" s="6" t="s">
        <v>489</v>
      </c>
      <c r="E14" s="6" t="s">
        <v>490</v>
      </c>
      <c r="F14" s="6">
        <v>96</v>
      </c>
      <c r="G14" s="6">
        <v>140.664007</v>
      </c>
    </row>
    <row r="15" spans="1:7" x14ac:dyDescent="0.2">
      <c r="A15" s="6" t="s">
        <v>487</v>
      </c>
      <c r="B15" s="6" t="s">
        <v>488</v>
      </c>
      <c r="C15" s="6" t="s">
        <v>75</v>
      </c>
      <c r="D15" s="6" t="s">
        <v>491</v>
      </c>
      <c r="E15" s="6" t="s">
        <v>490</v>
      </c>
      <c r="F15" s="6">
        <v>96</v>
      </c>
      <c r="G15" s="6">
        <v>142.03303700000001</v>
      </c>
    </row>
    <row r="16" spans="1:7" x14ac:dyDescent="0.2">
      <c r="A16" s="6" t="s">
        <v>487</v>
      </c>
      <c r="B16" s="6" t="s">
        <v>488</v>
      </c>
      <c r="C16" s="6" t="s">
        <v>75</v>
      </c>
      <c r="D16" s="6" t="s">
        <v>492</v>
      </c>
      <c r="E16" s="6" t="s">
        <v>490</v>
      </c>
      <c r="F16" s="6">
        <v>96</v>
      </c>
      <c r="G16" s="6">
        <v>149.248188</v>
      </c>
    </row>
    <row r="17" spans="1:7" x14ac:dyDescent="0.2">
      <c r="A17" s="6" t="s">
        <v>487</v>
      </c>
      <c r="B17" s="6" t="s">
        <v>488</v>
      </c>
      <c r="C17" s="6" t="s">
        <v>75</v>
      </c>
      <c r="D17" s="6" t="s">
        <v>489</v>
      </c>
      <c r="E17" s="6" t="s">
        <v>490</v>
      </c>
      <c r="F17" s="6">
        <v>120</v>
      </c>
      <c r="G17" s="6">
        <v>142.39549700000001</v>
      </c>
    </row>
    <row r="18" spans="1:7" x14ac:dyDescent="0.2">
      <c r="A18" s="6" t="s">
        <v>487</v>
      </c>
      <c r="B18" s="6" t="s">
        <v>488</v>
      </c>
      <c r="C18" s="6" t="s">
        <v>75</v>
      </c>
      <c r="D18" s="6" t="s">
        <v>491</v>
      </c>
      <c r="E18" s="6" t="s">
        <v>490</v>
      </c>
      <c r="F18" s="6">
        <v>120</v>
      </c>
      <c r="G18" s="6">
        <v>126.775035</v>
      </c>
    </row>
    <row r="19" spans="1:7" x14ac:dyDescent="0.2">
      <c r="A19" s="6" t="s">
        <v>487</v>
      </c>
      <c r="B19" s="6" t="s">
        <v>488</v>
      </c>
      <c r="C19" s="6" t="s">
        <v>75</v>
      </c>
      <c r="D19" s="6" t="s">
        <v>492</v>
      </c>
      <c r="E19" s="6" t="s">
        <v>490</v>
      </c>
      <c r="F19" s="6">
        <v>120</v>
      </c>
      <c r="G19" s="6">
        <v>121.35844400000001</v>
      </c>
    </row>
    <row r="20" spans="1:7" x14ac:dyDescent="0.2">
      <c r="A20" s="6" t="s">
        <v>487</v>
      </c>
      <c r="B20" s="6" t="s">
        <v>488</v>
      </c>
      <c r="C20" s="6" t="s">
        <v>75</v>
      </c>
      <c r="D20" s="6" t="s">
        <v>489</v>
      </c>
      <c r="E20" s="6" t="s">
        <v>490</v>
      </c>
      <c r="F20" s="6">
        <v>168</v>
      </c>
      <c r="G20" s="6">
        <v>136.925602</v>
      </c>
    </row>
    <row r="21" spans="1:7" x14ac:dyDescent="0.2">
      <c r="A21" s="6" t="s">
        <v>487</v>
      </c>
      <c r="B21" s="6" t="s">
        <v>488</v>
      </c>
      <c r="C21" s="6" t="s">
        <v>75</v>
      </c>
      <c r="D21" s="6" t="s">
        <v>491</v>
      </c>
      <c r="E21" s="6" t="s">
        <v>490</v>
      </c>
      <c r="F21" s="6">
        <v>168</v>
      </c>
      <c r="G21" s="6">
        <v>118.02609099999999</v>
      </c>
    </row>
    <row r="22" spans="1:7" x14ac:dyDescent="0.2">
      <c r="A22" s="6" t="s">
        <v>487</v>
      </c>
      <c r="B22" s="6" t="s">
        <v>488</v>
      </c>
      <c r="C22" s="6" t="s">
        <v>75</v>
      </c>
      <c r="D22" s="6" t="s">
        <v>492</v>
      </c>
      <c r="E22" s="6" t="s">
        <v>490</v>
      </c>
      <c r="F22" s="6">
        <v>168</v>
      </c>
      <c r="G22" s="6">
        <v>124.623209</v>
      </c>
    </row>
    <row r="23" spans="1:7" x14ac:dyDescent="0.2">
      <c r="A23" s="6" t="s">
        <v>493</v>
      </c>
      <c r="B23" s="6" t="s">
        <v>488</v>
      </c>
      <c r="C23" s="6" t="s">
        <v>75</v>
      </c>
      <c r="D23" s="6" t="s">
        <v>489</v>
      </c>
      <c r="E23" s="6" t="s">
        <v>490</v>
      </c>
      <c r="F23" s="6">
        <v>0</v>
      </c>
      <c r="G23" s="6">
        <v>125.36120200000001</v>
      </c>
    </row>
    <row r="24" spans="1:7" x14ac:dyDescent="0.2">
      <c r="A24" s="6" t="s">
        <v>493</v>
      </c>
      <c r="B24" s="6" t="s">
        <v>488</v>
      </c>
      <c r="C24" s="6" t="s">
        <v>75</v>
      </c>
      <c r="D24" s="6" t="s">
        <v>491</v>
      </c>
      <c r="E24" s="6" t="s">
        <v>490</v>
      </c>
      <c r="F24" s="6">
        <v>0</v>
      </c>
      <c r="G24" s="6">
        <v>131.30588800000001</v>
      </c>
    </row>
    <row r="25" spans="1:7" x14ac:dyDescent="0.2">
      <c r="A25" s="6" t="s">
        <v>493</v>
      </c>
      <c r="B25" s="6" t="s">
        <v>488</v>
      </c>
      <c r="C25" s="6" t="s">
        <v>75</v>
      </c>
      <c r="D25" s="6" t="s">
        <v>492</v>
      </c>
      <c r="E25" s="6" t="s">
        <v>490</v>
      </c>
      <c r="F25" s="6">
        <v>0</v>
      </c>
      <c r="G25" s="6">
        <v>123.045159</v>
      </c>
    </row>
    <row r="26" spans="1:7" x14ac:dyDescent="0.2">
      <c r="A26" s="6" t="s">
        <v>493</v>
      </c>
      <c r="B26" s="6" t="s">
        <v>488</v>
      </c>
      <c r="C26" s="6" t="s">
        <v>75</v>
      </c>
      <c r="D26" s="6" t="s">
        <v>489</v>
      </c>
      <c r="E26" s="6" t="s">
        <v>490</v>
      </c>
      <c r="F26" s="6">
        <v>24</v>
      </c>
      <c r="G26" s="6">
        <v>134.80372600000001</v>
      </c>
    </row>
    <row r="27" spans="1:7" x14ac:dyDescent="0.2">
      <c r="A27" s="6" t="s">
        <v>493</v>
      </c>
      <c r="B27" s="6" t="s">
        <v>488</v>
      </c>
      <c r="C27" s="6" t="s">
        <v>75</v>
      </c>
      <c r="D27" s="6" t="s">
        <v>491</v>
      </c>
      <c r="E27" s="6" t="s">
        <v>490</v>
      </c>
      <c r="F27" s="6">
        <v>24</v>
      </c>
      <c r="G27" s="6">
        <v>132.80087700000001</v>
      </c>
    </row>
    <row r="28" spans="1:7" x14ac:dyDescent="0.2">
      <c r="A28" s="6" t="s">
        <v>493</v>
      </c>
      <c r="B28" s="6" t="s">
        <v>488</v>
      </c>
      <c r="C28" s="6" t="s">
        <v>75</v>
      </c>
      <c r="D28" s="6" t="s">
        <v>492</v>
      </c>
      <c r="E28" s="6" t="s">
        <v>490</v>
      </c>
      <c r="F28" s="6">
        <v>24</v>
      </c>
      <c r="G28" s="6">
        <v>178.639579</v>
      </c>
    </row>
    <row r="29" spans="1:7" x14ac:dyDescent="0.2">
      <c r="A29" s="6" t="s">
        <v>493</v>
      </c>
      <c r="B29" s="6" t="s">
        <v>488</v>
      </c>
      <c r="C29" s="6" t="s">
        <v>75</v>
      </c>
      <c r="D29" s="6" t="s">
        <v>489</v>
      </c>
      <c r="E29" s="6" t="s">
        <v>490</v>
      </c>
      <c r="F29" s="6">
        <v>48</v>
      </c>
      <c r="G29" s="6">
        <v>125.367349</v>
      </c>
    </row>
    <row r="30" spans="1:7" x14ac:dyDescent="0.2">
      <c r="A30" s="6" t="s">
        <v>493</v>
      </c>
      <c r="B30" s="6" t="s">
        <v>488</v>
      </c>
      <c r="C30" s="6" t="s">
        <v>75</v>
      </c>
      <c r="D30" s="6" t="s">
        <v>491</v>
      </c>
      <c r="E30" s="6" t="s">
        <v>490</v>
      </c>
      <c r="F30" s="6">
        <v>48</v>
      </c>
      <c r="G30" s="6">
        <v>135.819413</v>
      </c>
    </row>
    <row r="31" spans="1:7" x14ac:dyDescent="0.2">
      <c r="A31" s="6" t="s">
        <v>493</v>
      </c>
      <c r="B31" s="6" t="s">
        <v>488</v>
      </c>
      <c r="C31" s="6" t="s">
        <v>75</v>
      </c>
      <c r="D31" s="6" t="s">
        <v>492</v>
      </c>
      <c r="E31" s="6" t="s">
        <v>490</v>
      </c>
      <c r="F31" s="6">
        <v>48</v>
      </c>
      <c r="G31" s="6">
        <v>147.10635199999999</v>
      </c>
    </row>
    <row r="32" spans="1:7" x14ac:dyDescent="0.2">
      <c r="A32" s="6" t="s">
        <v>493</v>
      </c>
      <c r="B32" s="6" t="s">
        <v>488</v>
      </c>
      <c r="C32" s="6" t="s">
        <v>75</v>
      </c>
      <c r="D32" s="6" t="s">
        <v>489</v>
      </c>
      <c r="E32" s="6" t="s">
        <v>490</v>
      </c>
      <c r="F32" s="6">
        <v>72</v>
      </c>
      <c r="G32" s="6">
        <v>132.90775199999999</v>
      </c>
    </row>
    <row r="33" spans="1:7" x14ac:dyDescent="0.2">
      <c r="A33" s="6" t="s">
        <v>493</v>
      </c>
      <c r="B33" s="6" t="s">
        <v>488</v>
      </c>
      <c r="C33" s="6" t="s">
        <v>75</v>
      </c>
      <c r="D33" s="6" t="s">
        <v>491</v>
      </c>
      <c r="E33" s="6" t="s">
        <v>490</v>
      </c>
      <c r="F33" s="6">
        <v>72</v>
      </c>
      <c r="G33" s="6">
        <v>136.82607999999999</v>
      </c>
    </row>
    <row r="34" spans="1:7" x14ac:dyDescent="0.2">
      <c r="A34" s="6" t="s">
        <v>493</v>
      </c>
      <c r="B34" s="6" t="s">
        <v>488</v>
      </c>
      <c r="C34" s="6" t="s">
        <v>75</v>
      </c>
      <c r="D34" s="6" t="s">
        <v>492</v>
      </c>
      <c r="E34" s="6" t="s">
        <v>490</v>
      </c>
      <c r="F34" s="6">
        <v>72</v>
      </c>
      <c r="G34" s="6">
        <v>135.45622700000001</v>
      </c>
    </row>
    <row r="35" spans="1:7" x14ac:dyDescent="0.2">
      <c r="A35" s="6" t="s">
        <v>493</v>
      </c>
      <c r="B35" s="6" t="s">
        <v>488</v>
      </c>
      <c r="C35" s="6" t="s">
        <v>75</v>
      </c>
      <c r="D35" s="6" t="s">
        <v>489</v>
      </c>
      <c r="E35" s="6" t="s">
        <v>490</v>
      </c>
      <c r="F35" s="6">
        <v>96</v>
      </c>
      <c r="G35" s="6">
        <v>130.83353700000001</v>
      </c>
    </row>
    <row r="36" spans="1:7" x14ac:dyDescent="0.2">
      <c r="A36" s="6" t="s">
        <v>493</v>
      </c>
      <c r="B36" s="6" t="s">
        <v>488</v>
      </c>
      <c r="C36" s="6" t="s">
        <v>75</v>
      </c>
      <c r="D36" s="6" t="s">
        <v>491</v>
      </c>
      <c r="E36" s="6" t="s">
        <v>490</v>
      </c>
      <c r="F36" s="6">
        <v>96</v>
      </c>
      <c r="G36" s="6">
        <v>119.463483</v>
      </c>
    </row>
    <row r="37" spans="1:7" x14ac:dyDescent="0.2">
      <c r="A37" s="6" t="s">
        <v>493</v>
      </c>
      <c r="B37" s="6" t="s">
        <v>488</v>
      </c>
      <c r="C37" s="6" t="s">
        <v>75</v>
      </c>
      <c r="D37" s="6" t="s">
        <v>492</v>
      </c>
      <c r="E37" s="6" t="s">
        <v>490</v>
      </c>
      <c r="F37" s="6">
        <v>96</v>
      </c>
      <c r="G37" s="6">
        <v>139.86618899999999</v>
      </c>
    </row>
    <row r="38" spans="1:7" x14ac:dyDescent="0.2">
      <c r="A38" s="6" t="s">
        <v>493</v>
      </c>
      <c r="B38" s="6" t="s">
        <v>488</v>
      </c>
      <c r="C38" s="6" t="s">
        <v>75</v>
      </c>
      <c r="D38" s="6" t="s">
        <v>489</v>
      </c>
      <c r="E38" s="6" t="s">
        <v>490</v>
      </c>
      <c r="F38" s="6">
        <v>120</v>
      </c>
      <c r="G38" s="6">
        <v>115.147514</v>
      </c>
    </row>
    <row r="39" spans="1:7" x14ac:dyDescent="0.2">
      <c r="A39" s="6" t="s">
        <v>493</v>
      </c>
      <c r="B39" s="6" t="s">
        <v>488</v>
      </c>
      <c r="C39" s="6" t="s">
        <v>75</v>
      </c>
      <c r="D39" s="6" t="s">
        <v>491</v>
      </c>
      <c r="E39" s="6" t="s">
        <v>490</v>
      </c>
      <c r="F39" s="6">
        <v>120</v>
      </c>
      <c r="G39" s="6">
        <v>108.537949</v>
      </c>
    </row>
    <row r="40" spans="1:7" x14ac:dyDescent="0.2">
      <c r="A40" s="6" t="s">
        <v>493</v>
      </c>
      <c r="B40" s="6" t="s">
        <v>488</v>
      </c>
      <c r="C40" s="6" t="s">
        <v>75</v>
      </c>
      <c r="D40" s="6" t="s">
        <v>492</v>
      </c>
      <c r="E40" s="6" t="s">
        <v>490</v>
      </c>
      <c r="F40" s="6">
        <v>120</v>
      </c>
      <c r="G40" s="6">
        <v>120.23961799999999</v>
      </c>
    </row>
    <row r="41" spans="1:7" x14ac:dyDescent="0.2">
      <c r="A41" s="6" t="s">
        <v>493</v>
      </c>
      <c r="B41" s="6" t="s">
        <v>488</v>
      </c>
      <c r="C41" s="6" t="s">
        <v>75</v>
      </c>
      <c r="D41" s="6" t="s">
        <v>489</v>
      </c>
      <c r="E41" s="6" t="s">
        <v>490</v>
      </c>
      <c r="F41" s="6">
        <v>168</v>
      </c>
      <c r="G41" s="6">
        <v>106.10243199999999</v>
      </c>
    </row>
    <row r="42" spans="1:7" x14ac:dyDescent="0.2">
      <c r="A42" s="6" t="s">
        <v>493</v>
      </c>
      <c r="B42" s="6" t="s">
        <v>488</v>
      </c>
      <c r="C42" s="6" t="s">
        <v>75</v>
      </c>
      <c r="D42" s="6" t="s">
        <v>491</v>
      </c>
      <c r="E42" s="6" t="s">
        <v>490</v>
      </c>
      <c r="F42" s="6">
        <v>168</v>
      </c>
      <c r="G42" s="6">
        <v>119.024759</v>
      </c>
    </row>
    <row r="43" spans="1:7" x14ac:dyDescent="0.2">
      <c r="A43" s="6" t="s">
        <v>493</v>
      </c>
      <c r="B43" s="6" t="s">
        <v>488</v>
      </c>
      <c r="C43" s="6" t="s">
        <v>75</v>
      </c>
      <c r="D43" s="6" t="s">
        <v>492</v>
      </c>
      <c r="E43" s="6" t="s">
        <v>490</v>
      </c>
      <c r="F43" s="6">
        <v>168</v>
      </c>
      <c r="G43" s="6">
        <v>116.749354</v>
      </c>
    </row>
    <row r="44" spans="1:7" x14ac:dyDescent="0.2">
      <c r="A44" s="6" t="s">
        <v>487</v>
      </c>
      <c r="B44" s="6" t="s">
        <v>488</v>
      </c>
      <c r="C44" s="6" t="s">
        <v>75</v>
      </c>
      <c r="D44" s="6" t="s">
        <v>489</v>
      </c>
      <c r="E44" s="6" t="s">
        <v>494</v>
      </c>
      <c r="F44" s="6">
        <v>0</v>
      </c>
      <c r="G44" s="6">
        <v>6.4933049499999997</v>
      </c>
    </row>
    <row r="45" spans="1:7" x14ac:dyDescent="0.2">
      <c r="A45" s="6" t="s">
        <v>487</v>
      </c>
      <c r="B45" s="6" t="s">
        <v>488</v>
      </c>
      <c r="C45" s="6" t="s">
        <v>75</v>
      </c>
      <c r="D45" s="6" t="s">
        <v>491</v>
      </c>
      <c r="E45" s="6" t="s">
        <v>494</v>
      </c>
      <c r="F45" s="6">
        <v>0</v>
      </c>
      <c r="G45" s="6">
        <v>11.221907399999999</v>
      </c>
    </row>
    <row r="46" spans="1:7" x14ac:dyDescent="0.2">
      <c r="A46" s="6" t="s">
        <v>487</v>
      </c>
      <c r="B46" s="6" t="s">
        <v>488</v>
      </c>
      <c r="C46" s="6" t="s">
        <v>75</v>
      </c>
      <c r="D46" s="6" t="s">
        <v>492</v>
      </c>
      <c r="E46" s="6" t="s">
        <v>494</v>
      </c>
      <c r="F46" s="6">
        <v>0</v>
      </c>
      <c r="G46" s="6">
        <v>9.6535559899999992</v>
      </c>
    </row>
    <row r="47" spans="1:7" x14ac:dyDescent="0.2">
      <c r="A47" s="6" t="s">
        <v>487</v>
      </c>
      <c r="B47" s="6" t="s">
        <v>488</v>
      </c>
      <c r="C47" s="6" t="s">
        <v>75</v>
      </c>
      <c r="D47" s="6" t="s">
        <v>489</v>
      </c>
      <c r="E47" s="6" t="s">
        <v>494</v>
      </c>
      <c r="F47" s="6">
        <v>24</v>
      </c>
      <c r="G47" s="6">
        <v>5.0274265299999996</v>
      </c>
    </row>
    <row r="48" spans="1:7" x14ac:dyDescent="0.2">
      <c r="A48" s="6" t="s">
        <v>487</v>
      </c>
      <c r="B48" s="6" t="s">
        <v>488</v>
      </c>
      <c r="C48" s="6" t="s">
        <v>75</v>
      </c>
      <c r="D48" s="6" t="s">
        <v>491</v>
      </c>
      <c r="E48" s="6" t="s">
        <v>494</v>
      </c>
      <c r="F48" s="6">
        <v>24</v>
      </c>
      <c r="G48" s="6">
        <v>4.81186632</v>
      </c>
    </row>
    <row r="49" spans="1:7" x14ac:dyDescent="0.2">
      <c r="A49" s="6" t="s">
        <v>487</v>
      </c>
      <c r="B49" s="6" t="s">
        <v>488</v>
      </c>
      <c r="C49" s="6" t="s">
        <v>75</v>
      </c>
      <c r="D49" s="6" t="s">
        <v>492</v>
      </c>
      <c r="E49" s="6" t="s">
        <v>494</v>
      </c>
      <c r="F49" s="6">
        <v>24</v>
      </c>
      <c r="G49" s="6">
        <v>4.6775059299999997</v>
      </c>
    </row>
    <row r="50" spans="1:7" x14ac:dyDescent="0.2">
      <c r="A50" s="6" t="s">
        <v>487</v>
      </c>
      <c r="B50" s="6" t="s">
        <v>488</v>
      </c>
      <c r="C50" s="6" t="s">
        <v>75</v>
      </c>
      <c r="D50" s="6" t="s">
        <v>489</v>
      </c>
      <c r="E50" s="6" t="s">
        <v>494</v>
      </c>
      <c r="F50" s="6">
        <v>48</v>
      </c>
      <c r="G50" s="6">
        <v>1.57967021</v>
      </c>
    </row>
    <row r="51" spans="1:7" x14ac:dyDescent="0.2">
      <c r="A51" s="6" t="s">
        <v>487</v>
      </c>
      <c r="B51" s="6" t="s">
        <v>488</v>
      </c>
      <c r="C51" s="6" t="s">
        <v>75</v>
      </c>
      <c r="D51" s="6" t="s">
        <v>491</v>
      </c>
      <c r="E51" s="6" t="s">
        <v>494</v>
      </c>
      <c r="F51" s="6">
        <v>48</v>
      </c>
      <c r="G51" s="6">
        <v>1.40168987</v>
      </c>
    </row>
    <row r="52" spans="1:7" x14ac:dyDescent="0.2">
      <c r="A52" s="6" t="s">
        <v>487</v>
      </c>
      <c r="B52" s="6" t="s">
        <v>488</v>
      </c>
      <c r="C52" s="6" t="s">
        <v>75</v>
      </c>
      <c r="D52" s="6" t="s">
        <v>492</v>
      </c>
      <c r="E52" s="6" t="s">
        <v>494</v>
      </c>
      <c r="F52" s="6">
        <v>48</v>
      </c>
      <c r="G52" s="6">
        <v>1.27078753</v>
      </c>
    </row>
    <row r="53" spans="1:7" x14ac:dyDescent="0.2">
      <c r="A53" s="6" t="s">
        <v>487</v>
      </c>
      <c r="B53" s="6" t="s">
        <v>488</v>
      </c>
      <c r="C53" s="6" t="s">
        <v>75</v>
      </c>
      <c r="D53" s="6" t="s">
        <v>489</v>
      </c>
      <c r="E53" s="6" t="s">
        <v>494</v>
      </c>
      <c r="F53" s="6">
        <v>72</v>
      </c>
      <c r="G53" s="6">
        <v>0.88099238999999996</v>
      </c>
    </row>
    <row r="54" spans="1:7" x14ac:dyDescent="0.2">
      <c r="A54" s="6" t="s">
        <v>487</v>
      </c>
      <c r="B54" s="6" t="s">
        <v>488</v>
      </c>
      <c r="C54" s="6" t="s">
        <v>75</v>
      </c>
      <c r="D54" s="6" t="s">
        <v>491</v>
      </c>
      <c r="E54" s="6" t="s">
        <v>494</v>
      </c>
      <c r="F54" s="6">
        <v>72</v>
      </c>
      <c r="G54" s="6">
        <v>0.78448903000000003</v>
      </c>
    </row>
    <row r="55" spans="1:7" x14ac:dyDescent="0.2">
      <c r="A55" s="6" t="s">
        <v>487</v>
      </c>
      <c r="B55" s="6" t="s">
        <v>488</v>
      </c>
      <c r="C55" s="6" t="s">
        <v>75</v>
      </c>
      <c r="D55" s="6" t="s">
        <v>492</v>
      </c>
      <c r="E55" s="6" t="s">
        <v>494</v>
      </c>
      <c r="F55" s="6">
        <v>72</v>
      </c>
      <c r="G55" s="6">
        <v>0.78385718999999998</v>
      </c>
    </row>
    <row r="56" spans="1:7" x14ac:dyDescent="0.2">
      <c r="A56" s="6" t="s">
        <v>487</v>
      </c>
      <c r="B56" s="6" t="s">
        <v>488</v>
      </c>
      <c r="C56" s="6" t="s">
        <v>75</v>
      </c>
      <c r="D56" s="6" t="s">
        <v>489</v>
      </c>
      <c r="E56" s="6" t="s">
        <v>494</v>
      </c>
      <c r="F56" s="6">
        <v>96</v>
      </c>
      <c r="G56" s="6">
        <v>0.84611066999999995</v>
      </c>
    </row>
    <row r="57" spans="1:7" x14ac:dyDescent="0.2">
      <c r="A57" s="6" t="s">
        <v>487</v>
      </c>
      <c r="B57" s="6" t="s">
        <v>488</v>
      </c>
      <c r="C57" s="6" t="s">
        <v>75</v>
      </c>
      <c r="D57" s="6" t="s">
        <v>491</v>
      </c>
      <c r="E57" s="6" t="s">
        <v>494</v>
      </c>
      <c r="F57" s="6">
        <v>96</v>
      </c>
      <c r="G57" s="6">
        <v>0.81537685999999998</v>
      </c>
    </row>
    <row r="58" spans="1:7" x14ac:dyDescent="0.2">
      <c r="A58" s="6" t="s">
        <v>487</v>
      </c>
      <c r="B58" s="6" t="s">
        <v>488</v>
      </c>
      <c r="C58" s="6" t="s">
        <v>75</v>
      </c>
      <c r="D58" s="6" t="s">
        <v>492</v>
      </c>
      <c r="E58" s="6" t="s">
        <v>494</v>
      </c>
      <c r="F58" s="6">
        <v>96</v>
      </c>
      <c r="G58" s="6">
        <v>0.82531222999999998</v>
      </c>
    </row>
    <row r="59" spans="1:7" x14ac:dyDescent="0.2">
      <c r="A59" s="6" t="s">
        <v>487</v>
      </c>
      <c r="B59" s="6" t="s">
        <v>488</v>
      </c>
      <c r="C59" s="6" t="s">
        <v>75</v>
      </c>
      <c r="D59" s="6" t="s">
        <v>489</v>
      </c>
      <c r="E59" s="6" t="s">
        <v>494</v>
      </c>
      <c r="F59" s="6">
        <v>120</v>
      </c>
      <c r="G59" s="6">
        <v>0.91268477999999997</v>
      </c>
    </row>
    <row r="60" spans="1:7" x14ac:dyDescent="0.2">
      <c r="A60" s="6" t="s">
        <v>487</v>
      </c>
      <c r="B60" s="6" t="s">
        <v>488</v>
      </c>
      <c r="C60" s="6" t="s">
        <v>75</v>
      </c>
      <c r="D60" s="6" t="s">
        <v>491</v>
      </c>
      <c r="E60" s="6" t="s">
        <v>494</v>
      </c>
      <c r="F60" s="6">
        <v>120</v>
      </c>
      <c r="G60" s="6">
        <v>0.73463659000000003</v>
      </c>
    </row>
    <row r="61" spans="1:7" x14ac:dyDescent="0.2">
      <c r="A61" s="6" t="s">
        <v>487</v>
      </c>
      <c r="B61" s="6" t="s">
        <v>488</v>
      </c>
      <c r="C61" s="6" t="s">
        <v>75</v>
      </c>
      <c r="D61" s="6" t="s">
        <v>492</v>
      </c>
      <c r="E61" s="6" t="s">
        <v>494</v>
      </c>
      <c r="F61" s="6">
        <v>120</v>
      </c>
      <c r="G61" s="6">
        <v>0.64681728999999999</v>
      </c>
    </row>
    <row r="62" spans="1:7" x14ac:dyDescent="0.2">
      <c r="A62" s="6" t="s">
        <v>487</v>
      </c>
      <c r="B62" s="6" t="s">
        <v>488</v>
      </c>
      <c r="C62" s="6" t="s">
        <v>75</v>
      </c>
      <c r="D62" s="6" t="s">
        <v>489</v>
      </c>
      <c r="E62" s="6" t="s">
        <v>494</v>
      </c>
      <c r="F62" s="6">
        <v>168</v>
      </c>
      <c r="G62" s="6">
        <v>1.2644944300000001</v>
      </c>
    </row>
    <row r="63" spans="1:7" x14ac:dyDescent="0.2">
      <c r="A63" s="6" t="s">
        <v>487</v>
      </c>
      <c r="B63" s="6" t="s">
        <v>488</v>
      </c>
      <c r="C63" s="6" t="s">
        <v>75</v>
      </c>
      <c r="D63" s="6" t="s">
        <v>491</v>
      </c>
      <c r="E63" s="6" t="s">
        <v>494</v>
      </c>
      <c r="F63" s="6">
        <v>168</v>
      </c>
      <c r="G63" s="6">
        <v>0.80447413000000001</v>
      </c>
    </row>
    <row r="64" spans="1:7" x14ac:dyDescent="0.2">
      <c r="A64" s="6" t="s">
        <v>487</v>
      </c>
      <c r="B64" s="6" t="s">
        <v>488</v>
      </c>
      <c r="C64" s="6" t="s">
        <v>75</v>
      </c>
      <c r="D64" s="6" t="s">
        <v>492</v>
      </c>
      <c r="E64" s="6" t="s">
        <v>494</v>
      </c>
      <c r="F64" s="6">
        <v>168</v>
      </c>
      <c r="G64" s="6">
        <v>0.87713998999999998</v>
      </c>
    </row>
    <row r="65" spans="1:7" x14ac:dyDescent="0.2">
      <c r="A65" s="6" t="s">
        <v>493</v>
      </c>
      <c r="B65" s="6" t="s">
        <v>488</v>
      </c>
      <c r="C65" s="6" t="s">
        <v>75</v>
      </c>
      <c r="D65" s="6" t="s">
        <v>489</v>
      </c>
      <c r="E65" s="6" t="s">
        <v>494</v>
      </c>
      <c r="F65" s="6">
        <v>0</v>
      </c>
      <c r="G65" s="6">
        <v>10.198160700000001</v>
      </c>
    </row>
    <row r="66" spans="1:7" x14ac:dyDescent="0.2">
      <c r="A66" s="6" t="s">
        <v>493</v>
      </c>
      <c r="B66" s="6" t="s">
        <v>488</v>
      </c>
      <c r="C66" s="6" t="s">
        <v>75</v>
      </c>
      <c r="D66" s="6" t="s">
        <v>491</v>
      </c>
      <c r="E66" s="6" t="s">
        <v>494</v>
      </c>
      <c r="F66" s="6">
        <v>0</v>
      </c>
      <c r="G66" s="6">
        <v>10.7919164</v>
      </c>
    </row>
    <row r="67" spans="1:7" x14ac:dyDescent="0.2">
      <c r="A67" s="6" t="s">
        <v>493</v>
      </c>
      <c r="B67" s="6" t="s">
        <v>488</v>
      </c>
      <c r="C67" s="6" t="s">
        <v>75</v>
      </c>
      <c r="D67" s="6" t="s">
        <v>492</v>
      </c>
      <c r="E67" s="6" t="s">
        <v>494</v>
      </c>
      <c r="F67" s="6">
        <v>0</v>
      </c>
      <c r="G67" s="6">
        <v>9.9137893600000009</v>
      </c>
    </row>
    <row r="68" spans="1:7" x14ac:dyDescent="0.2">
      <c r="A68" s="6" t="s">
        <v>493</v>
      </c>
      <c r="B68" s="6" t="s">
        <v>488</v>
      </c>
      <c r="C68" s="6" t="s">
        <v>75</v>
      </c>
      <c r="D68" s="6" t="s">
        <v>489</v>
      </c>
      <c r="E68" s="6" t="s">
        <v>494</v>
      </c>
      <c r="F68" s="6">
        <v>24</v>
      </c>
      <c r="G68" s="6">
        <v>2.3986334500000002</v>
      </c>
    </row>
    <row r="69" spans="1:7" x14ac:dyDescent="0.2">
      <c r="A69" s="6" t="s">
        <v>493</v>
      </c>
      <c r="B69" s="6" t="s">
        <v>488</v>
      </c>
      <c r="C69" s="6" t="s">
        <v>75</v>
      </c>
      <c r="D69" s="6" t="s">
        <v>491</v>
      </c>
      <c r="E69" s="6" t="s">
        <v>494</v>
      </c>
      <c r="F69" s="6">
        <v>24</v>
      </c>
      <c r="G69" s="6">
        <v>2.0200768299999998</v>
      </c>
    </row>
    <row r="70" spans="1:7" x14ac:dyDescent="0.2">
      <c r="A70" s="6" t="s">
        <v>493</v>
      </c>
      <c r="B70" s="6" t="s">
        <v>488</v>
      </c>
      <c r="C70" s="6" t="s">
        <v>75</v>
      </c>
      <c r="D70" s="6" t="s">
        <v>492</v>
      </c>
      <c r="E70" s="6" t="s">
        <v>494</v>
      </c>
      <c r="F70" s="6">
        <v>24</v>
      </c>
      <c r="G70" s="6">
        <v>2.5153479600000002</v>
      </c>
    </row>
    <row r="71" spans="1:7" x14ac:dyDescent="0.2">
      <c r="A71" s="6" t="s">
        <v>493</v>
      </c>
      <c r="B71" s="6" t="s">
        <v>488</v>
      </c>
      <c r="C71" s="6" t="s">
        <v>75</v>
      </c>
      <c r="D71" s="6" t="s">
        <v>489</v>
      </c>
      <c r="E71" s="6" t="s">
        <v>494</v>
      </c>
      <c r="F71" s="6">
        <v>48</v>
      </c>
      <c r="G71" s="6">
        <v>0.75629999999999997</v>
      </c>
    </row>
    <row r="72" spans="1:7" x14ac:dyDescent="0.2">
      <c r="A72" s="6" t="s">
        <v>493</v>
      </c>
      <c r="B72" s="6" t="s">
        <v>488</v>
      </c>
      <c r="C72" s="6" t="s">
        <v>75</v>
      </c>
      <c r="D72" s="6" t="s">
        <v>491</v>
      </c>
      <c r="E72" s="6" t="s">
        <v>494</v>
      </c>
      <c r="F72" s="6">
        <v>48</v>
      </c>
      <c r="G72" s="6">
        <v>0.73949653000000004</v>
      </c>
    </row>
    <row r="73" spans="1:7" x14ac:dyDescent="0.2">
      <c r="A73" s="6" t="s">
        <v>493</v>
      </c>
      <c r="B73" s="6" t="s">
        <v>488</v>
      </c>
      <c r="C73" s="6" t="s">
        <v>75</v>
      </c>
      <c r="D73" s="6" t="s">
        <v>492</v>
      </c>
      <c r="E73" s="6" t="s">
        <v>494</v>
      </c>
      <c r="F73" s="6">
        <v>48</v>
      </c>
      <c r="G73" s="6">
        <v>0.86691373999999999</v>
      </c>
    </row>
    <row r="74" spans="1:7" x14ac:dyDescent="0.2">
      <c r="A74" s="6" t="s">
        <v>493</v>
      </c>
      <c r="B74" s="6" t="s">
        <v>488</v>
      </c>
      <c r="C74" s="6" t="s">
        <v>75</v>
      </c>
      <c r="D74" s="6" t="s">
        <v>489</v>
      </c>
      <c r="E74" s="6" t="s">
        <v>494</v>
      </c>
      <c r="F74" s="6">
        <v>72</v>
      </c>
      <c r="G74" s="6">
        <v>0.84442930000000005</v>
      </c>
    </row>
    <row r="75" spans="1:7" x14ac:dyDescent="0.2">
      <c r="A75" s="6" t="s">
        <v>493</v>
      </c>
      <c r="B75" s="6" t="s">
        <v>488</v>
      </c>
      <c r="C75" s="6" t="s">
        <v>75</v>
      </c>
      <c r="D75" s="6" t="s">
        <v>491</v>
      </c>
      <c r="E75" s="6" t="s">
        <v>494</v>
      </c>
      <c r="F75" s="6">
        <v>72</v>
      </c>
      <c r="G75" s="6">
        <v>0.83998476</v>
      </c>
    </row>
    <row r="76" spans="1:7" x14ac:dyDescent="0.2">
      <c r="A76" s="6" t="s">
        <v>493</v>
      </c>
      <c r="B76" s="6" t="s">
        <v>488</v>
      </c>
      <c r="C76" s="6" t="s">
        <v>75</v>
      </c>
      <c r="D76" s="6" t="s">
        <v>492</v>
      </c>
      <c r="E76" s="6" t="s">
        <v>494</v>
      </c>
      <c r="F76" s="6">
        <v>72</v>
      </c>
      <c r="G76" s="6">
        <v>0.77318655999999997</v>
      </c>
    </row>
    <row r="77" spans="1:7" x14ac:dyDescent="0.2">
      <c r="A77" s="6" t="s">
        <v>493</v>
      </c>
      <c r="B77" s="6" t="s">
        <v>488</v>
      </c>
      <c r="C77" s="6" t="s">
        <v>75</v>
      </c>
      <c r="D77" s="6" t="s">
        <v>489</v>
      </c>
      <c r="E77" s="6" t="s">
        <v>494</v>
      </c>
      <c r="F77" s="6">
        <v>96</v>
      </c>
      <c r="G77" s="6">
        <v>0.88222349</v>
      </c>
    </row>
    <row r="78" spans="1:7" x14ac:dyDescent="0.2">
      <c r="A78" s="6" t="s">
        <v>493</v>
      </c>
      <c r="B78" s="6" t="s">
        <v>488</v>
      </c>
      <c r="C78" s="6" t="s">
        <v>75</v>
      </c>
      <c r="D78" s="6" t="s">
        <v>491</v>
      </c>
      <c r="E78" s="6" t="s">
        <v>494</v>
      </c>
      <c r="F78" s="6">
        <v>96</v>
      </c>
      <c r="G78" s="6">
        <v>0.77407691999999995</v>
      </c>
    </row>
    <row r="79" spans="1:7" x14ac:dyDescent="0.2">
      <c r="A79" s="6" t="s">
        <v>493</v>
      </c>
      <c r="B79" s="6" t="s">
        <v>488</v>
      </c>
      <c r="C79" s="6" t="s">
        <v>75</v>
      </c>
      <c r="D79" s="6" t="s">
        <v>492</v>
      </c>
      <c r="E79" s="6" t="s">
        <v>494</v>
      </c>
      <c r="F79" s="6">
        <v>96</v>
      </c>
      <c r="G79" s="6">
        <v>0.86426048</v>
      </c>
    </row>
    <row r="80" spans="1:7" x14ac:dyDescent="0.2">
      <c r="A80" s="6" t="s">
        <v>493</v>
      </c>
      <c r="B80" s="6" t="s">
        <v>488</v>
      </c>
      <c r="C80" s="6" t="s">
        <v>75</v>
      </c>
      <c r="D80" s="6" t="s">
        <v>489</v>
      </c>
      <c r="E80" s="6" t="s">
        <v>494</v>
      </c>
      <c r="F80" s="6">
        <v>120</v>
      </c>
      <c r="G80" s="6">
        <v>0.75788946999999995</v>
      </c>
    </row>
    <row r="81" spans="1:7" x14ac:dyDescent="0.2">
      <c r="A81" s="6" t="s">
        <v>493</v>
      </c>
      <c r="B81" s="6" t="s">
        <v>488</v>
      </c>
      <c r="C81" s="6" t="s">
        <v>75</v>
      </c>
      <c r="D81" s="6" t="s">
        <v>491</v>
      </c>
      <c r="E81" s="6" t="s">
        <v>494</v>
      </c>
      <c r="F81" s="6">
        <v>120</v>
      </c>
      <c r="G81" s="6">
        <v>0.70568207999999999</v>
      </c>
    </row>
    <row r="82" spans="1:7" x14ac:dyDescent="0.2">
      <c r="A82" s="6" t="s">
        <v>493</v>
      </c>
      <c r="B82" s="6" t="s">
        <v>488</v>
      </c>
      <c r="C82" s="6" t="s">
        <v>75</v>
      </c>
      <c r="D82" s="6" t="s">
        <v>492</v>
      </c>
      <c r="E82" s="6" t="s">
        <v>494</v>
      </c>
      <c r="F82" s="6">
        <v>120</v>
      </c>
      <c r="G82" s="6">
        <v>0.78205760999999996</v>
      </c>
    </row>
    <row r="83" spans="1:7" x14ac:dyDescent="0.2">
      <c r="A83" s="6" t="s">
        <v>493</v>
      </c>
      <c r="B83" s="6" t="s">
        <v>488</v>
      </c>
      <c r="C83" s="6" t="s">
        <v>75</v>
      </c>
      <c r="D83" s="6" t="s">
        <v>489</v>
      </c>
      <c r="E83" s="6" t="s">
        <v>494</v>
      </c>
      <c r="F83" s="6">
        <v>168</v>
      </c>
      <c r="G83" s="6">
        <v>0.80817278000000004</v>
      </c>
    </row>
    <row r="84" spans="1:7" x14ac:dyDescent="0.2">
      <c r="A84" s="6" t="s">
        <v>493</v>
      </c>
      <c r="B84" s="6" t="s">
        <v>488</v>
      </c>
      <c r="C84" s="6" t="s">
        <v>75</v>
      </c>
      <c r="D84" s="6" t="s">
        <v>491</v>
      </c>
      <c r="E84" s="6" t="s">
        <v>494</v>
      </c>
      <c r="F84" s="6">
        <v>168</v>
      </c>
      <c r="G84" s="6">
        <v>0.78225197999999996</v>
      </c>
    </row>
    <row r="85" spans="1:7" x14ac:dyDescent="0.2">
      <c r="A85" s="6" t="s">
        <v>493</v>
      </c>
      <c r="B85" s="6" t="s">
        <v>488</v>
      </c>
      <c r="C85" s="6" t="s">
        <v>75</v>
      </c>
      <c r="D85" s="6" t="s">
        <v>492</v>
      </c>
      <c r="E85" s="6" t="s">
        <v>494</v>
      </c>
      <c r="F85" s="6">
        <v>168</v>
      </c>
      <c r="G85" s="6">
        <v>0.75491607000000005</v>
      </c>
    </row>
    <row r="86" spans="1:7" x14ac:dyDescent="0.2">
      <c r="A86" s="6" t="s">
        <v>487</v>
      </c>
      <c r="B86" s="6" t="s">
        <v>488</v>
      </c>
      <c r="C86" s="6" t="s">
        <v>75</v>
      </c>
      <c r="D86" s="6" t="s">
        <v>489</v>
      </c>
      <c r="E86" s="6" t="s">
        <v>495</v>
      </c>
      <c r="F86" s="6">
        <v>0</v>
      </c>
      <c r="G86" s="6">
        <v>0.18361048999999999</v>
      </c>
    </row>
    <row r="87" spans="1:7" x14ac:dyDescent="0.2">
      <c r="A87" s="6" t="s">
        <v>487</v>
      </c>
      <c r="B87" s="6" t="s">
        <v>488</v>
      </c>
      <c r="C87" s="6" t="s">
        <v>75</v>
      </c>
      <c r="D87" s="6" t="s">
        <v>491</v>
      </c>
      <c r="E87" s="6" t="s">
        <v>495</v>
      </c>
      <c r="F87" s="6">
        <v>0</v>
      </c>
      <c r="G87" s="6">
        <v>0.35380210000000001</v>
      </c>
    </row>
    <row r="88" spans="1:7" x14ac:dyDescent="0.2">
      <c r="A88" s="6" t="s">
        <v>487</v>
      </c>
      <c r="B88" s="6" t="s">
        <v>488</v>
      </c>
      <c r="C88" s="6" t="s">
        <v>75</v>
      </c>
      <c r="D88" s="6" t="s">
        <v>492</v>
      </c>
      <c r="E88" s="6" t="s">
        <v>495</v>
      </c>
      <c r="F88" s="6">
        <v>0</v>
      </c>
      <c r="G88" s="6">
        <v>0.27872049999999998</v>
      </c>
    </row>
    <row r="89" spans="1:7" x14ac:dyDescent="0.2">
      <c r="A89" s="6" t="s">
        <v>487</v>
      </c>
      <c r="B89" s="6" t="s">
        <v>488</v>
      </c>
      <c r="C89" s="6" t="s">
        <v>75</v>
      </c>
      <c r="D89" s="6" t="s">
        <v>489</v>
      </c>
      <c r="E89" s="6" t="s">
        <v>495</v>
      </c>
      <c r="F89" s="6">
        <v>24</v>
      </c>
      <c r="G89" s="6">
        <v>0.27024768999999998</v>
      </c>
    </row>
    <row r="90" spans="1:7" x14ac:dyDescent="0.2">
      <c r="A90" s="6" t="s">
        <v>487</v>
      </c>
      <c r="B90" s="6" t="s">
        <v>488</v>
      </c>
      <c r="C90" s="6" t="s">
        <v>75</v>
      </c>
      <c r="D90" s="6" t="s">
        <v>491</v>
      </c>
      <c r="E90" s="6" t="s">
        <v>495</v>
      </c>
      <c r="F90" s="6">
        <v>24</v>
      </c>
      <c r="G90" s="6">
        <v>0.28676469999999998</v>
      </c>
    </row>
    <row r="91" spans="1:7" x14ac:dyDescent="0.2">
      <c r="A91" s="6" t="s">
        <v>487</v>
      </c>
      <c r="B91" s="6" t="s">
        <v>488</v>
      </c>
      <c r="C91" s="6" t="s">
        <v>75</v>
      </c>
      <c r="D91" s="6" t="s">
        <v>492</v>
      </c>
      <c r="E91" s="6" t="s">
        <v>495</v>
      </c>
      <c r="F91" s="6">
        <v>24</v>
      </c>
      <c r="G91" s="6">
        <v>0.28114886</v>
      </c>
    </row>
    <row r="92" spans="1:7" x14ac:dyDescent="0.2">
      <c r="A92" s="6" t="s">
        <v>487</v>
      </c>
      <c r="B92" s="6" t="s">
        <v>488</v>
      </c>
      <c r="C92" s="6" t="s">
        <v>75</v>
      </c>
      <c r="D92" s="6" t="s">
        <v>489</v>
      </c>
      <c r="E92" s="6" t="s">
        <v>495</v>
      </c>
      <c r="F92" s="6">
        <v>48</v>
      </c>
      <c r="G92" s="6">
        <v>0.26288176000000002</v>
      </c>
    </row>
    <row r="93" spans="1:7" x14ac:dyDescent="0.2">
      <c r="A93" s="6" t="s">
        <v>487</v>
      </c>
      <c r="B93" s="6" t="s">
        <v>488</v>
      </c>
      <c r="C93" s="6" t="s">
        <v>75</v>
      </c>
      <c r="D93" s="6" t="s">
        <v>491</v>
      </c>
      <c r="E93" s="6" t="s">
        <v>495</v>
      </c>
      <c r="F93" s="6">
        <v>48</v>
      </c>
      <c r="G93" s="6">
        <v>0.29163232</v>
      </c>
    </row>
    <row r="94" spans="1:7" x14ac:dyDescent="0.2">
      <c r="A94" s="6" t="s">
        <v>487</v>
      </c>
      <c r="B94" s="6" t="s">
        <v>488</v>
      </c>
      <c r="C94" s="6" t="s">
        <v>75</v>
      </c>
      <c r="D94" s="6" t="s">
        <v>492</v>
      </c>
      <c r="E94" s="6" t="s">
        <v>495</v>
      </c>
      <c r="F94" s="6">
        <v>48</v>
      </c>
      <c r="G94" s="6">
        <v>0.27949858</v>
      </c>
    </row>
    <row r="95" spans="1:7" x14ac:dyDescent="0.2">
      <c r="A95" s="6" t="s">
        <v>487</v>
      </c>
      <c r="B95" s="6" t="s">
        <v>488</v>
      </c>
      <c r="C95" s="6" t="s">
        <v>75</v>
      </c>
      <c r="D95" s="6" t="s">
        <v>489</v>
      </c>
      <c r="E95" s="6" t="s">
        <v>495</v>
      </c>
      <c r="F95" s="6">
        <v>72</v>
      </c>
      <c r="G95" s="6">
        <v>0.34415536000000002</v>
      </c>
    </row>
    <row r="96" spans="1:7" x14ac:dyDescent="0.2">
      <c r="A96" s="6" t="s">
        <v>487</v>
      </c>
      <c r="B96" s="6" t="s">
        <v>488</v>
      </c>
      <c r="C96" s="6" t="s">
        <v>75</v>
      </c>
      <c r="D96" s="6" t="s">
        <v>491</v>
      </c>
      <c r="E96" s="6" t="s">
        <v>495</v>
      </c>
      <c r="F96" s="6">
        <v>72</v>
      </c>
      <c r="G96" s="6">
        <v>0.35789705999999999</v>
      </c>
    </row>
    <row r="97" spans="1:7" x14ac:dyDescent="0.2">
      <c r="A97" s="6" t="s">
        <v>487</v>
      </c>
      <c r="B97" s="6" t="s">
        <v>488</v>
      </c>
      <c r="C97" s="6" t="s">
        <v>75</v>
      </c>
      <c r="D97" s="6" t="s">
        <v>492</v>
      </c>
      <c r="E97" s="6" t="s">
        <v>495</v>
      </c>
      <c r="F97" s="6">
        <v>72</v>
      </c>
      <c r="G97" s="6">
        <v>0.40043274000000001</v>
      </c>
    </row>
    <row r="98" spans="1:7" x14ac:dyDescent="0.2">
      <c r="A98" s="6" t="s">
        <v>487</v>
      </c>
      <c r="B98" s="6" t="s">
        <v>488</v>
      </c>
      <c r="C98" s="6" t="s">
        <v>75</v>
      </c>
      <c r="D98" s="6" t="s">
        <v>489</v>
      </c>
      <c r="E98" s="6" t="s">
        <v>495</v>
      </c>
      <c r="F98" s="6">
        <v>96</v>
      </c>
      <c r="G98" s="6">
        <v>0.47214086</v>
      </c>
    </row>
    <row r="99" spans="1:7" x14ac:dyDescent="0.2">
      <c r="A99" s="6" t="s">
        <v>487</v>
      </c>
      <c r="B99" s="6" t="s">
        <v>488</v>
      </c>
      <c r="C99" s="6" t="s">
        <v>75</v>
      </c>
      <c r="D99" s="6" t="s">
        <v>491</v>
      </c>
      <c r="E99" s="6" t="s">
        <v>495</v>
      </c>
      <c r="F99" s="6">
        <v>96</v>
      </c>
      <c r="G99" s="6">
        <v>0.48577403000000002</v>
      </c>
    </row>
    <row r="100" spans="1:7" x14ac:dyDescent="0.2">
      <c r="A100" s="6" t="s">
        <v>487</v>
      </c>
      <c r="B100" s="6" t="s">
        <v>488</v>
      </c>
      <c r="C100" s="6" t="s">
        <v>75</v>
      </c>
      <c r="D100" s="6" t="s">
        <v>492</v>
      </c>
      <c r="E100" s="6" t="s">
        <v>495</v>
      </c>
      <c r="F100" s="6">
        <v>96</v>
      </c>
      <c r="G100" s="6">
        <v>0.51563223000000002</v>
      </c>
    </row>
    <row r="101" spans="1:7" x14ac:dyDescent="0.2">
      <c r="A101" s="6" t="s">
        <v>487</v>
      </c>
      <c r="B101" s="6" t="s">
        <v>488</v>
      </c>
      <c r="C101" s="6" t="s">
        <v>75</v>
      </c>
      <c r="D101" s="6" t="s">
        <v>489</v>
      </c>
      <c r="E101" s="6" t="s">
        <v>495</v>
      </c>
      <c r="F101" s="6">
        <v>120</v>
      </c>
      <c r="G101" s="6">
        <v>0.63425405000000001</v>
      </c>
    </row>
    <row r="102" spans="1:7" x14ac:dyDescent="0.2">
      <c r="A102" s="6" t="s">
        <v>487</v>
      </c>
      <c r="B102" s="6" t="s">
        <v>488</v>
      </c>
      <c r="C102" s="6" t="s">
        <v>75</v>
      </c>
      <c r="D102" s="6" t="s">
        <v>491</v>
      </c>
      <c r="E102" s="6" t="s">
        <v>495</v>
      </c>
      <c r="F102" s="6">
        <v>120</v>
      </c>
      <c r="G102" s="6">
        <v>0.57038593000000004</v>
      </c>
    </row>
    <row r="103" spans="1:7" x14ac:dyDescent="0.2">
      <c r="A103" s="6" t="s">
        <v>487</v>
      </c>
      <c r="B103" s="6" t="s">
        <v>488</v>
      </c>
      <c r="C103" s="6" t="s">
        <v>75</v>
      </c>
      <c r="D103" s="6" t="s">
        <v>492</v>
      </c>
      <c r="E103" s="6" t="s">
        <v>495</v>
      </c>
      <c r="F103" s="6">
        <v>120</v>
      </c>
      <c r="G103" s="6">
        <v>0.54086396999999997</v>
      </c>
    </row>
    <row r="104" spans="1:7" x14ac:dyDescent="0.2">
      <c r="A104" s="6" t="s">
        <v>487</v>
      </c>
      <c r="B104" s="6" t="s">
        <v>488</v>
      </c>
      <c r="C104" s="6" t="s">
        <v>75</v>
      </c>
      <c r="D104" s="6" t="s">
        <v>489</v>
      </c>
      <c r="E104" s="6" t="s">
        <v>495</v>
      </c>
      <c r="F104" s="6">
        <v>168</v>
      </c>
      <c r="G104" s="6">
        <v>0.81350579999999995</v>
      </c>
    </row>
    <row r="105" spans="1:7" x14ac:dyDescent="0.2">
      <c r="A105" s="6" t="s">
        <v>487</v>
      </c>
      <c r="B105" s="6" t="s">
        <v>488</v>
      </c>
      <c r="C105" s="6" t="s">
        <v>75</v>
      </c>
      <c r="D105" s="6" t="s">
        <v>491</v>
      </c>
      <c r="E105" s="6" t="s">
        <v>495</v>
      </c>
      <c r="F105" s="6">
        <v>168</v>
      </c>
      <c r="G105" s="6">
        <v>0.66848278000000005</v>
      </c>
    </row>
    <row r="106" spans="1:7" x14ac:dyDescent="0.2">
      <c r="A106" s="6" t="s">
        <v>487</v>
      </c>
      <c r="B106" s="6" t="s">
        <v>488</v>
      </c>
      <c r="C106" s="6" t="s">
        <v>75</v>
      </c>
      <c r="D106" s="6" t="s">
        <v>492</v>
      </c>
      <c r="E106" s="6" t="s">
        <v>495</v>
      </c>
      <c r="F106" s="6">
        <v>168</v>
      </c>
      <c r="G106" s="6">
        <v>0.72507524000000001</v>
      </c>
    </row>
    <row r="107" spans="1:7" x14ac:dyDescent="0.2">
      <c r="A107" s="6" t="s">
        <v>493</v>
      </c>
      <c r="B107" s="6" t="s">
        <v>488</v>
      </c>
      <c r="C107" s="6" t="s">
        <v>75</v>
      </c>
      <c r="D107" s="6" t="s">
        <v>489</v>
      </c>
      <c r="E107" s="6" t="s">
        <v>495</v>
      </c>
      <c r="F107" s="6">
        <v>0</v>
      </c>
      <c r="G107" s="6">
        <v>0.28678923000000001</v>
      </c>
    </row>
    <row r="108" spans="1:7" x14ac:dyDescent="0.2">
      <c r="A108" s="6" t="s">
        <v>493</v>
      </c>
      <c r="B108" s="6" t="s">
        <v>488</v>
      </c>
      <c r="C108" s="6" t="s">
        <v>75</v>
      </c>
      <c r="D108" s="6" t="s">
        <v>491</v>
      </c>
      <c r="E108" s="6" t="s">
        <v>495</v>
      </c>
      <c r="F108" s="6">
        <v>0</v>
      </c>
      <c r="G108" s="6">
        <v>0.29066371000000002</v>
      </c>
    </row>
    <row r="109" spans="1:7" x14ac:dyDescent="0.2">
      <c r="A109" s="6" t="s">
        <v>493</v>
      </c>
      <c r="B109" s="6" t="s">
        <v>488</v>
      </c>
      <c r="C109" s="6" t="s">
        <v>75</v>
      </c>
      <c r="D109" s="6" t="s">
        <v>492</v>
      </c>
      <c r="E109" s="6" t="s">
        <v>495</v>
      </c>
      <c r="F109" s="6">
        <v>0</v>
      </c>
      <c r="G109" s="6">
        <v>0.27731074</v>
      </c>
    </row>
    <row r="110" spans="1:7" x14ac:dyDescent="0.2">
      <c r="A110" s="6" t="s">
        <v>493</v>
      </c>
      <c r="B110" s="6" t="s">
        <v>488</v>
      </c>
      <c r="C110" s="6" t="s">
        <v>75</v>
      </c>
      <c r="D110" s="6" t="s">
        <v>489</v>
      </c>
      <c r="E110" s="6" t="s">
        <v>495</v>
      </c>
      <c r="F110" s="6">
        <v>24</v>
      </c>
      <c r="G110" s="6">
        <v>0.30410160000000003</v>
      </c>
    </row>
    <row r="111" spans="1:7" x14ac:dyDescent="0.2">
      <c r="A111" s="6" t="s">
        <v>493</v>
      </c>
      <c r="B111" s="6" t="s">
        <v>488</v>
      </c>
      <c r="C111" s="6" t="s">
        <v>75</v>
      </c>
      <c r="D111" s="6" t="s">
        <v>491</v>
      </c>
      <c r="E111" s="6" t="s">
        <v>495</v>
      </c>
      <c r="F111" s="6">
        <v>24</v>
      </c>
      <c r="G111" s="6">
        <v>0.29167056000000002</v>
      </c>
    </row>
    <row r="112" spans="1:7" x14ac:dyDescent="0.2">
      <c r="A112" s="6" t="s">
        <v>493</v>
      </c>
      <c r="B112" s="6" t="s">
        <v>488</v>
      </c>
      <c r="C112" s="6" t="s">
        <v>75</v>
      </c>
      <c r="D112" s="6" t="s">
        <v>492</v>
      </c>
      <c r="E112" s="6" t="s">
        <v>495</v>
      </c>
      <c r="F112" s="6">
        <v>24</v>
      </c>
      <c r="G112" s="6">
        <v>0.44112801000000001</v>
      </c>
    </row>
    <row r="113" spans="1:7" x14ac:dyDescent="0.2">
      <c r="A113" s="6" t="s">
        <v>493</v>
      </c>
      <c r="B113" s="6" t="s">
        <v>488</v>
      </c>
      <c r="C113" s="6" t="s">
        <v>75</v>
      </c>
      <c r="D113" s="6" t="s">
        <v>489</v>
      </c>
      <c r="E113" s="6" t="s">
        <v>495</v>
      </c>
      <c r="F113" s="6">
        <v>48</v>
      </c>
      <c r="G113" s="6">
        <v>0.46039360000000001</v>
      </c>
    </row>
    <row r="114" spans="1:7" x14ac:dyDescent="0.2">
      <c r="A114" s="6" t="s">
        <v>493</v>
      </c>
      <c r="B114" s="6" t="s">
        <v>488</v>
      </c>
      <c r="C114" s="6" t="s">
        <v>75</v>
      </c>
      <c r="D114" s="6" t="s">
        <v>491</v>
      </c>
      <c r="E114" s="6" t="s">
        <v>495</v>
      </c>
      <c r="F114" s="6">
        <v>48</v>
      </c>
      <c r="G114" s="6">
        <v>0.48818449000000003</v>
      </c>
    </row>
    <row r="115" spans="1:7" x14ac:dyDescent="0.2">
      <c r="A115" s="6" t="s">
        <v>493</v>
      </c>
      <c r="B115" s="6" t="s">
        <v>488</v>
      </c>
      <c r="C115" s="6" t="s">
        <v>75</v>
      </c>
      <c r="D115" s="6" t="s">
        <v>492</v>
      </c>
      <c r="E115" s="6" t="s">
        <v>495</v>
      </c>
      <c r="F115" s="6">
        <v>48</v>
      </c>
      <c r="G115" s="6">
        <v>0.55132700999999995</v>
      </c>
    </row>
    <row r="116" spans="1:7" x14ac:dyDescent="0.2">
      <c r="A116" s="6" t="s">
        <v>493</v>
      </c>
      <c r="B116" s="6" t="s">
        <v>488</v>
      </c>
      <c r="C116" s="6" t="s">
        <v>75</v>
      </c>
      <c r="D116" s="6" t="s">
        <v>489</v>
      </c>
      <c r="E116" s="6" t="s">
        <v>495</v>
      </c>
      <c r="F116" s="6">
        <v>72</v>
      </c>
      <c r="G116" s="6">
        <v>0.57499743000000003</v>
      </c>
    </row>
    <row r="117" spans="1:7" x14ac:dyDescent="0.2">
      <c r="A117" s="6" t="s">
        <v>493</v>
      </c>
      <c r="B117" s="6" t="s">
        <v>488</v>
      </c>
      <c r="C117" s="6" t="s">
        <v>75</v>
      </c>
      <c r="D117" s="6" t="s">
        <v>491</v>
      </c>
      <c r="E117" s="6" t="s">
        <v>495</v>
      </c>
      <c r="F117" s="6">
        <v>72</v>
      </c>
      <c r="G117" s="6">
        <v>0.56696594</v>
      </c>
    </row>
    <row r="118" spans="1:7" x14ac:dyDescent="0.2">
      <c r="A118" s="6" t="s">
        <v>493</v>
      </c>
      <c r="B118" s="6" t="s">
        <v>488</v>
      </c>
      <c r="C118" s="6" t="s">
        <v>75</v>
      </c>
      <c r="D118" s="6" t="s">
        <v>492</v>
      </c>
      <c r="E118" s="6" t="s">
        <v>495</v>
      </c>
      <c r="F118" s="6">
        <v>72</v>
      </c>
      <c r="G118" s="6">
        <v>0.54489898000000003</v>
      </c>
    </row>
    <row r="119" spans="1:7" x14ac:dyDescent="0.2">
      <c r="A119" s="6" t="s">
        <v>493</v>
      </c>
      <c r="B119" s="6" t="s">
        <v>488</v>
      </c>
      <c r="C119" s="6" t="s">
        <v>75</v>
      </c>
      <c r="D119" s="6" t="s">
        <v>489</v>
      </c>
      <c r="E119" s="6" t="s">
        <v>495</v>
      </c>
      <c r="F119" s="6">
        <v>96</v>
      </c>
      <c r="G119" s="6">
        <v>0.58964861999999996</v>
      </c>
    </row>
    <row r="120" spans="1:7" x14ac:dyDescent="0.2">
      <c r="A120" s="6" t="s">
        <v>493</v>
      </c>
      <c r="B120" s="6" t="s">
        <v>488</v>
      </c>
      <c r="C120" s="6" t="s">
        <v>75</v>
      </c>
      <c r="D120" s="6" t="s">
        <v>491</v>
      </c>
      <c r="E120" s="6" t="s">
        <v>495</v>
      </c>
      <c r="F120" s="6">
        <v>96</v>
      </c>
      <c r="G120" s="6">
        <v>0.51993559</v>
      </c>
    </row>
    <row r="121" spans="1:7" x14ac:dyDescent="0.2">
      <c r="A121" s="6" t="s">
        <v>493</v>
      </c>
      <c r="B121" s="6" t="s">
        <v>488</v>
      </c>
      <c r="C121" s="6" t="s">
        <v>75</v>
      </c>
      <c r="D121" s="6" t="s">
        <v>492</v>
      </c>
      <c r="E121" s="6" t="s">
        <v>495</v>
      </c>
      <c r="F121" s="6">
        <v>96</v>
      </c>
      <c r="G121" s="6">
        <v>0.61162123000000002</v>
      </c>
    </row>
    <row r="122" spans="1:7" x14ac:dyDescent="0.2">
      <c r="A122" s="6" t="s">
        <v>493</v>
      </c>
      <c r="B122" s="6" t="s">
        <v>488</v>
      </c>
      <c r="C122" s="6" t="s">
        <v>75</v>
      </c>
      <c r="D122" s="6" t="s">
        <v>489</v>
      </c>
      <c r="E122" s="6" t="s">
        <v>495</v>
      </c>
      <c r="F122" s="6">
        <v>120</v>
      </c>
      <c r="G122" s="6">
        <v>0.57700450999999997</v>
      </c>
    </row>
    <row r="123" spans="1:7" x14ac:dyDescent="0.2">
      <c r="A123" s="6" t="s">
        <v>493</v>
      </c>
      <c r="B123" s="6" t="s">
        <v>488</v>
      </c>
      <c r="C123" s="6" t="s">
        <v>75</v>
      </c>
      <c r="D123" s="6" t="s">
        <v>491</v>
      </c>
      <c r="E123" s="6" t="s">
        <v>495</v>
      </c>
      <c r="F123" s="6">
        <v>120</v>
      </c>
      <c r="G123" s="6">
        <v>0.51403489000000002</v>
      </c>
    </row>
    <row r="124" spans="1:7" x14ac:dyDescent="0.2">
      <c r="A124" s="6" t="s">
        <v>493</v>
      </c>
      <c r="B124" s="6" t="s">
        <v>488</v>
      </c>
      <c r="C124" s="6" t="s">
        <v>75</v>
      </c>
      <c r="D124" s="6" t="s">
        <v>492</v>
      </c>
      <c r="E124" s="6" t="s">
        <v>495</v>
      </c>
      <c r="F124" s="6">
        <v>120</v>
      </c>
      <c r="G124" s="6">
        <v>0.56062672000000002</v>
      </c>
    </row>
    <row r="125" spans="1:7" x14ac:dyDescent="0.2">
      <c r="A125" s="6" t="s">
        <v>493</v>
      </c>
      <c r="B125" s="6" t="s">
        <v>488</v>
      </c>
      <c r="C125" s="6" t="s">
        <v>75</v>
      </c>
      <c r="D125" s="6" t="s">
        <v>489</v>
      </c>
      <c r="E125" s="6" t="s">
        <v>495</v>
      </c>
      <c r="F125" s="6">
        <v>168</v>
      </c>
      <c r="G125" s="6">
        <v>0.60592036000000005</v>
      </c>
    </row>
    <row r="126" spans="1:7" x14ac:dyDescent="0.2">
      <c r="A126" s="6" t="s">
        <v>493</v>
      </c>
      <c r="B126" s="6" t="s">
        <v>488</v>
      </c>
      <c r="C126" s="6" t="s">
        <v>75</v>
      </c>
      <c r="D126" s="6" t="s">
        <v>491</v>
      </c>
      <c r="E126" s="6" t="s">
        <v>495</v>
      </c>
      <c r="F126" s="6">
        <v>168</v>
      </c>
      <c r="G126" s="6">
        <v>0.61737688000000002</v>
      </c>
    </row>
    <row r="127" spans="1:7" x14ac:dyDescent="0.2">
      <c r="A127" s="6" t="s">
        <v>493</v>
      </c>
      <c r="B127" s="6" t="s">
        <v>488</v>
      </c>
      <c r="C127" s="6" t="s">
        <v>75</v>
      </c>
      <c r="D127" s="6" t="s">
        <v>492</v>
      </c>
      <c r="E127" s="6" t="s">
        <v>495</v>
      </c>
      <c r="F127" s="6">
        <v>168</v>
      </c>
      <c r="G127" s="6">
        <v>0.58816504999999997</v>
      </c>
    </row>
    <row r="128" spans="1:7" x14ac:dyDescent="0.2">
      <c r="A128" s="6" t="s">
        <v>487</v>
      </c>
      <c r="B128" s="6" t="s">
        <v>488</v>
      </c>
      <c r="C128" s="6" t="s">
        <v>75</v>
      </c>
      <c r="D128" s="6" t="s">
        <v>489</v>
      </c>
      <c r="E128" s="6" t="s">
        <v>496</v>
      </c>
      <c r="F128" s="6">
        <v>0</v>
      </c>
      <c r="G128" s="6">
        <v>2.6937285399999999</v>
      </c>
    </row>
    <row r="129" spans="1:7" x14ac:dyDescent="0.2">
      <c r="A129" s="6" t="s">
        <v>487</v>
      </c>
      <c r="B129" s="6" t="s">
        <v>488</v>
      </c>
      <c r="C129" s="6" t="s">
        <v>75</v>
      </c>
      <c r="D129" s="6" t="s">
        <v>491</v>
      </c>
      <c r="E129" s="6" t="s">
        <v>496</v>
      </c>
      <c r="F129" s="6">
        <v>0</v>
      </c>
      <c r="G129" s="6">
        <v>4.5833563100000001</v>
      </c>
    </row>
    <row r="130" spans="1:7" x14ac:dyDescent="0.2">
      <c r="A130" s="6" t="s">
        <v>487</v>
      </c>
      <c r="B130" s="6" t="s">
        <v>488</v>
      </c>
      <c r="C130" s="6" t="s">
        <v>75</v>
      </c>
      <c r="D130" s="6" t="s">
        <v>492</v>
      </c>
      <c r="E130" s="6" t="s">
        <v>496</v>
      </c>
      <c r="F130" s="6">
        <v>0</v>
      </c>
      <c r="G130" s="6">
        <v>3.9322909799999999</v>
      </c>
    </row>
    <row r="131" spans="1:7" x14ac:dyDescent="0.2">
      <c r="A131" s="6" t="s">
        <v>487</v>
      </c>
      <c r="B131" s="6" t="s">
        <v>488</v>
      </c>
      <c r="C131" s="6" t="s">
        <v>75</v>
      </c>
      <c r="D131" s="6" t="s">
        <v>489</v>
      </c>
      <c r="E131" s="6" t="s">
        <v>496</v>
      </c>
      <c r="F131" s="6">
        <v>24</v>
      </c>
      <c r="G131" s="6">
        <v>4.1500116800000004</v>
      </c>
    </row>
    <row r="132" spans="1:7" x14ac:dyDescent="0.2">
      <c r="A132" s="6" t="s">
        <v>487</v>
      </c>
      <c r="B132" s="6" t="s">
        <v>488</v>
      </c>
      <c r="C132" s="6" t="s">
        <v>75</v>
      </c>
      <c r="D132" s="6" t="s">
        <v>491</v>
      </c>
      <c r="E132" s="6" t="s">
        <v>496</v>
      </c>
      <c r="F132" s="6">
        <v>24</v>
      </c>
      <c r="G132" s="6">
        <v>4.5583239000000004</v>
      </c>
    </row>
    <row r="133" spans="1:7" x14ac:dyDescent="0.2">
      <c r="A133" s="6" t="s">
        <v>487</v>
      </c>
      <c r="B133" s="6" t="s">
        <v>488</v>
      </c>
      <c r="C133" s="6" t="s">
        <v>75</v>
      </c>
      <c r="D133" s="6" t="s">
        <v>492</v>
      </c>
      <c r="E133" s="6" t="s">
        <v>496</v>
      </c>
      <c r="F133" s="6">
        <v>24</v>
      </c>
      <c r="G133" s="6">
        <v>4.2211494700000003</v>
      </c>
    </row>
    <row r="134" spans="1:7" x14ac:dyDescent="0.2">
      <c r="A134" s="6" t="s">
        <v>487</v>
      </c>
      <c r="B134" s="6" t="s">
        <v>488</v>
      </c>
      <c r="C134" s="6" t="s">
        <v>75</v>
      </c>
      <c r="D134" s="6" t="s">
        <v>489</v>
      </c>
      <c r="E134" s="6" t="s">
        <v>496</v>
      </c>
      <c r="F134" s="6">
        <v>48</v>
      </c>
      <c r="G134" s="6">
        <v>6.4217585699999997</v>
      </c>
    </row>
    <row r="135" spans="1:7" x14ac:dyDescent="0.2">
      <c r="A135" s="6" t="s">
        <v>487</v>
      </c>
      <c r="B135" s="6" t="s">
        <v>488</v>
      </c>
      <c r="C135" s="6" t="s">
        <v>75</v>
      </c>
      <c r="D135" s="6" t="s">
        <v>491</v>
      </c>
      <c r="E135" s="6" t="s">
        <v>496</v>
      </c>
      <c r="F135" s="6">
        <v>48</v>
      </c>
      <c r="G135" s="6">
        <v>7.0720563399999996</v>
      </c>
    </row>
    <row r="136" spans="1:7" x14ac:dyDescent="0.2">
      <c r="A136" s="6" t="s">
        <v>487</v>
      </c>
      <c r="B136" s="6" t="s">
        <v>488</v>
      </c>
      <c r="C136" s="6" t="s">
        <v>75</v>
      </c>
      <c r="D136" s="6" t="s">
        <v>492</v>
      </c>
      <c r="E136" s="6" t="s">
        <v>496</v>
      </c>
      <c r="F136" s="6">
        <v>48</v>
      </c>
      <c r="G136" s="6">
        <v>6.6269648800000001</v>
      </c>
    </row>
    <row r="137" spans="1:7" x14ac:dyDescent="0.2">
      <c r="A137" s="6" t="s">
        <v>487</v>
      </c>
      <c r="B137" s="6" t="s">
        <v>488</v>
      </c>
      <c r="C137" s="6" t="s">
        <v>75</v>
      </c>
      <c r="D137" s="6" t="s">
        <v>489</v>
      </c>
      <c r="E137" s="6" t="s">
        <v>496</v>
      </c>
      <c r="F137" s="6">
        <v>72</v>
      </c>
      <c r="G137" s="6">
        <v>10.1752299</v>
      </c>
    </row>
    <row r="138" spans="1:7" x14ac:dyDescent="0.2">
      <c r="A138" s="6" t="s">
        <v>487</v>
      </c>
      <c r="B138" s="6" t="s">
        <v>488</v>
      </c>
      <c r="C138" s="6" t="s">
        <v>75</v>
      </c>
      <c r="D138" s="6" t="s">
        <v>491</v>
      </c>
      <c r="E138" s="6" t="s">
        <v>496</v>
      </c>
      <c r="F138" s="6">
        <v>72</v>
      </c>
      <c r="G138" s="6">
        <v>10.8398872</v>
      </c>
    </row>
    <row r="139" spans="1:7" x14ac:dyDescent="0.2">
      <c r="A139" s="6" t="s">
        <v>487</v>
      </c>
      <c r="B139" s="6" t="s">
        <v>488</v>
      </c>
      <c r="C139" s="6" t="s">
        <v>75</v>
      </c>
      <c r="D139" s="6" t="s">
        <v>492</v>
      </c>
      <c r="E139" s="6" t="s">
        <v>496</v>
      </c>
      <c r="F139" s="6">
        <v>72</v>
      </c>
      <c r="G139" s="6">
        <v>11.2110722</v>
      </c>
    </row>
    <row r="140" spans="1:7" x14ac:dyDescent="0.2">
      <c r="A140" s="6" t="s">
        <v>487</v>
      </c>
      <c r="B140" s="6" t="s">
        <v>488</v>
      </c>
      <c r="C140" s="6" t="s">
        <v>75</v>
      </c>
      <c r="D140" s="6" t="s">
        <v>489</v>
      </c>
      <c r="E140" s="6" t="s">
        <v>496</v>
      </c>
      <c r="F140" s="6">
        <v>96</v>
      </c>
      <c r="G140" s="6">
        <v>13.248261299999999</v>
      </c>
    </row>
    <row r="141" spans="1:7" x14ac:dyDescent="0.2">
      <c r="A141" s="6" t="s">
        <v>487</v>
      </c>
      <c r="B141" s="6" t="s">
        <v>488</v>
      </c>
      <c r="C141" s="6" t="s">
        <v>75</v>
      </c>
      <c r="D141" s="6" t="s">
        <v>491</v>
      </c>
      <c r="E141" s="6" t="s">
        <v>496</v>
      </c>
      <c r="F141" s="6">
        <v>96</v>
      </c>
      <c r="G141" s="6">
        <v>13.6458911</v>
      </c>
    </row>
    <row r="142" spans="1:7" x14ac:dyDescent="0.2">
      <c r="A142" s="6" t="s">
        <v>487</v>
      </c>
      <c r="B142" s="6" t="s">
        <v>488</v>
      </c>
      <c r="C142" s="6" t="s">
        <v>75</v>
      </c>
      <c r="D142" s="6" t="s">
        <v>492</v>
      </c>
      <c r="E142" s="6" t="s">
        <v>496</v>
      </c>
      <c r="F142" s="6">
        <v>96</v>
      </c>
      <c r="G142" s="6">
        <v>14.3137262</v>
      </c>
    </row>
    <row r="143" spans="1:7" x14ac:dyDescent="0.2">
      <c r="A143" s="6" t="s">
        <v>487</v>
      </c>
      <c r="B143" s="6" t="s">
        <v>488</v>
      </c>
      <c r="C143" s="6" t="s">
        <v>75</v>
      </c>
      <c r="D143" s="6" t="s">
        <v>489</v>
      </c>
      <c r="E143" s="6" t="s">
        <v>496</v>
      </c>
      <c r="F143" s="6">
        <v>120</v>
      </c>
      <c r="G143" s="6">
        <v>15.331446400000001</v>
      </c>
    </row>
    <row r="144" spans="1:7" x14ac:dyDescent="0.2">
      <c r="A144" s="6" t="s">
        <v>487</v>
      </c>
      <c r="B144" s="6" t="s">
        <v>488</v>
      </c>
      <c r="C144" s="6" t="s">
        <v>75</v>
      </c>
      <c r="D144" s="6" t="s">
        <v>491</v>
      </c>
      <c r="E144" s="6" t="s">
        <v>496</v>
      </c>
      <c r="F144" s="6">
        <v>120</v>
      </c>
      <c r="G144" s="6">
        <v>13.753906300000001</v>
      </c>
    </row>
    <row r="145" spans="1:7" x14ac:dyDescent="0.2">
      <c r="A145" s="6" t="s">
        <v>487</v>
      </c>
      <c r="B145" s="6" t="s">
        <v>488</v>
      </c>
      <c r="C145" s="6" t="s">
        <v>75</v>
      </c>
      <c r="D145" s="6" t="s">
        <v>492</v>
      </c>
      <c r="E145" s="6" t="s">
        <v>496</v>
      </c>
      <c r="F145" s="6">
        <v>120</v>
      </c>
      <c r="G145" s="6">
        <v>13.449817100000001</v>
      </c>
    </row>
    <row r="146" spans="1:7" x14ac:dyDescent="0.2">
      <c r="A146" s="6" t="s">
        <v>487</v>
      </c>
      <c r="B146" s="6" t="s">
        <v>488</v>
      </c>
      <c r="C146" s="6" t="s">
        <v>75</v>
      </c>
      <c r="D146" s="6" t="s">
        <v>489</v>
      </c>
      <c r="E146" s="6" t="s">
        <v>496</v>
      </c>
      <c r="F146" s="6">
        <v>168</v>
      </c>
      <c r="G146" s="6">
        <v>17.712409900000001</v>
      </c>
    </row>
    <row r="147" spans="1:7" x14ac:dyDescent="0.2">
      <c r="A147" s="6" t="s">
        <v>487</v>
      </c>
      <c r="B147" s="6" t="s">
        <v>488</v>
      </c>
      <c r="C147" s="6" t="s">
        <v>75</v>
      </c>
      <c r="D147" s="6" t="s">
        <v>491</v>
      </c>
      <c r="E147" s="6" t="s">
        <v>496</v>
      </c>
      <c r="F147" s="6">
        <v>168</v>
      </c>
      <c r="G147" s="6">
        <v>15.2898719</v>
      </c>
    </row>
    <row r="148" spans="1:7" x14ac:dyDescent="0.2">
      <c r="A148" s="6" t="s">
        <v>487</v>
      </c>
      <c r="B148" s="6" t="s">
        <v>488</v>
      </c>
      <c r="C148" s="6" t="s">
        <v>75</v>
      </c>
      <c r="D148" s="6" t="s">
        <v>492</v>
      </c>
      <c r="E148" s="6" t="s">
        <v>496</v>
      </c>
      <c r="F148" s="6">
        <v>168</v>
      </c>
      <c r="G148" s="6">
        <v>16.177378300000001</v>
      </c>
    </row>
    <row r="149" spans="1:7" x14ac:dyDescent="0.2">
      <c r="A149" s="6" t="s">
        <v>493</v>
      </c>
      <c r="B149" s="6" t="s">
        <v>488</v>
      </c>
      <c r="C149" s="6" t="s">
        <v>75</v>
      </c>
      <c r="D149" s="6" t="s">
        <v>489</v>
      </c>
      <c r="E149" s="6" t="s">
        <v>496</v>
      </c>
      <c r="F149" s="6">
        <v>0</v>
      </c>
      <c r="G149" s="6">
        <v>4.1451418599999998</v>
      </c>
    </row>
    <row r="150" spans="1:7" x14ac:dyDescent="0.2">
      <c r="A150" s="6" t="s">
        <v>493</v>
      </c>
      <c r="B150" s="6" t="s">
        <v>488</v>
      </c>
      <c r="C150" s="6" t="s">
        <v>75</v>
      </c>
      <c r="D150" s="6" t="s">
        <v>491</v>
      </c>
      <c r="E150" s="6" t="s">
        <v>496</v>
      </c>
      <c r="F150" s="6">
        <v>0</v>
      </c>
      <c r="G150" s="6">
        <v>4.33904041</v>
      </c>
    </row>
    <row r="151" spans="1:7" x14ac:dyDescent="0.2">
      <c r="A151" s="6" t="s">
        <v>493</v>
      </c>
      <c r="B151" s="6" t="s">
        <v>488</v>
      </c>
      <c r="C151" s="6" t="s">
        <v>75</v>
      </c>
      <c r="D151" s="6" t="s">
        <v>492</v>
      </c>
      <c r="E151" s="6" t="s">
        <v>496</v>
      </c>
      <c r="F151" s="6">
        <v>0</v>
      </c>
      <c r="G151" s="6">
        <v>4.0158411200000002</v>
      </c>
    </row>
    <row r="152" spans="1:7" x14ac:dyDescent="0.2">
      <c r="A152" s="6" t="s">
        <v>493</v>
      </c>
      <c r="B152" s="6" t="s">
        <v>488</v>
      </c>
      <c r="C152" s="6" t="s">
        <v>75</v>
      </c>
      <c r="D152" s="6" t="s">
        <v>489</v>
      </c>
      <c r="E152" s="6" t="s">
        <v>496</v>
      </c>
      <c r="F152" s="6">
        <v>24</v>
      </c>
      <c r="G152" s="6">
        <v>5.4185837499999998</v>
      </c>
    </row>
    <row r="153" spans="1:7" x14ac:dyDescent="0.2">
      <c r="A153" s="6" t="s">
        <v>493</v>
      </c>
      <c r="B153" s="6" t="s">
        <v>488</v>
      </c>
      <c r="C153" s="6" t="s">
        <v>75</v>
      </c>
      <c r="D153" s="6" t="s">
        <v>491</v>
      </c>
      <c r="E153" s="6" t="s">
        <v>496</v>
      </c>
      <c r="F153" s="6">
        <v>24</v>
      </c>
      <c r="G153" s="6">
        <v>5.6696630800000003</v>
      </c>
    </row>
    <row r="154" spans="1:7" x14ac:dyDescent="0.2">
      <c r="A154" s="6" t="s">
        <v>493</v>
      </c>
      <c r="B154" s="6" t="s">
        <v>488</v>
      </c>
      <c r="C154" s="6" t="s">
        <v>75</v>
      </c>
      <c r="D154" s="6" t="s">
        <v>492</v>
      </c>
      <c r="E154" s="6" t="s">
        <v>496</v>
      </c>
      <c r="F154" s="6">
        <v>24</v>
      </c>
      <c r="G154" s="6">
        <v>8.7917114400000003</v>
      </c>
    </row>
    <row r="155" spans="1:7" x14ac:dyDescent="0.2">
      <c r="A155" s="6" t="s">
        <v>493</v>
      </c>
      <c r="B155" s="6" t="s">
        <v>488</v>
      </c>
      <c r="C155" s="6" t="s">
        <v>75</v>
      </c>
      <c r="D155" s="6" t="s">
        <v>489</v>
      </c>
      <c r="E155" s="6" t="s">
        <v>496</v>
      </c>
      <c r="F155" s="6">
        <v>48</v>
      </c>
      <c r="G155" s="6">
        <v>13.6279725</v>
      </c>
    </row>
    <row r="156" spans="1:7" x14ac:dyDescent="0.2">
      <c r="A156" s="6" t="s">
        <v>493</v>
      </c>
      <c r="B156" s="6" t="s">
        <v>488</v>
      </c>
      <c r="C156" s="6" t="s">
        <v>75</v>
      </c>
      <c r="D156" s="6" t="s">
        <v>491</v>
      </c>
      <c r="E156" s="6" t="s">
        <v>496</v>
      </c>
      <c r="F156" s="6">
        <v>48</v>
      </c>
      <c r="G156" s="6">
        <v>14.394961</v>
      </c>
    </row>
    <row r="157" spans="1:7" x14ac:dyDescent="0.2">
      <c r="A157" s="6" t="s">
        <v>493</v>
      </c>
      <c r="B157" s="6" t="s">
        <v>488</v>
      </c>
      <c r="C157" s="6" t="s">
        <v>75</v>
      </c>
      <c r="D157" s="6" t="s">
        <v>492</v>
      </c>
      <c r="E157" s="6" t="s">
        <v>496</v>
      </c>
      <c r="F157" s="6">
        <v>48</v>
      </c>
      <c r="G157" s="6">
        <v>15.386703199999999</v>
      </c>
    </row>
    <row r="158" spans="1:7" x14ac:dyDescent="0.2">
      <c r="A158" s="6" t="s">
        <v>493</v>
      </c>
      <c r="B158" s="6" t="s">
        <v>488</v>
      </c>
      <c r="C158" s="6" t="s">
        <v>75</v>
      </c>
      <c r="D158" s="6" t="s">
        <v>489</v>
      </c>
      <c r="E158" s="6" t="s">
        <v>496</v>
      </c>
      <c r="F158" s="6">
        <v>72</v>
      </c>
      <c r="G158" s="6">
        <v>15.3398336</v>
      </c>
    </row>
    <row r="159" spans="1:7" x14ac:dyDescent="0.2">
      <c r="A159" s="6" t="s">
        <v>493</v>
      </c>
      <c r="B159" s="6" t="s">
        <v>488</v>
      </c>
      <c r="C159" s="6" t="s">
        <v>75</v>
      </c>
      <c r="D159" s="6" t="s">
        <v>491</v>
      </c>
      <c r="E159" s="6" t="s">
        <v>496</v>
      </c>
      <c r="F159" s="6">
        <v>72</v>
      </c>
      <c r="G159" s="6">
        <v>15.3327344</v>
      </c>
    </row>
    <row r="160" spans="1:7" x14ac:dyDescent="0.2">
      <c r="A160" s="6" t="s">
        <v>493</v>
      </c>
      <c r="B160" s="6" t="s">
        <v>488</v>
      </c>
      <c r="C160" s="6" t="s">
        <v>75</v>
      </c>
      <c r="D160" s="6" t="s">
        <v>492</v>
      </c>
      <c r="E160" s="6" t="s">
        <v>496</v>
      </c>
      <c r="F160" s="6">
        <v>72</v>
      </c>
      <c r="G160" s="6">
        <v>14.919037299999999</v>
      </c>
    </row>
    <row r="161" spans="1:7" x14ac:dyDescent="0.2">
      <c r="A161" s="6" t="s">
        <v>493</v>
      </c>
      <c r="B161" s="6" t="s">
        <v>488</v>
      </c>
      <c r="C161" s="6" t="s">
        <v>75</v>
      </c>
      <c r="D161" s="6" t="s">
        <v>489</v>
      </c>
      <c r="E161" s="6" t="s">
        <v>496</v>
      </c>
      <c r="F161" s="6">
        <v>96</v>
      </c>
      <c r="G161" s="6">
        <v>15.6582177</v>
      </c>
    </row>
    <row r="162" spans="1:7" x14ac:dyDescent="0.2">
      <c r="A162" s="6" t="s">
        <v>493</v>
      </c>
      <c r="B162" s="6" t="s">
        <v>488</v>
      </c>
      <c r="C162" s="6" t="s">
        <v>75</v>
      </c>
      <c r="D162" s="6" t="s">
        <v>491</v>
      </c>
      <c r="E162" s="6" t="s">
        <v>496</v>
      </c>
      <c r="F162" s="6">
        <v>96</v>
      </c>
      <c r="G162" s="6">
        <v>13.977086999999999</v>
      </c>
    </row>
    <row r="163" spans="1:7" x14ac:dyDescent="0.2">
      <c r="A163" s="6" t="s">
        <v>493</v>
      </c>
      <c r="B163" s="6" t="s">
        <v>488</v>
      </c>
      <c r="C163" s="6" t="s">
        <v>75</v>
      </c>
      <c r="D163" s="6" t="s">
        <v>492</v>
      </c>
      <c r="E163" s="6" t="s">
        <v>496</v>
      </c>
      <c r="F163" s="6">
        <v>96</v>
      </c>
      <c r="G163" s="6">
        <v>16.309232600000001</v>
      </c>
    </row>
    <row r="164" spans="1:7" x14ac:dyDescent="0.2">
      <c r="A164" s="6" t="s">
        <v>493</v>
      </c>
      <c r="B164" s="6" t="s">
        <v>488</v>
      </c>
      <c r="C164" s="6" t="s">
        <v>75</v>
      </c>
      <c r="D164" s="6" t="s">
        <v>489</v>
      </c>
      <c r="E164" s="6" t="s">
        <v>496</v>
      </c>
      <c r="F164" s="6">
        <v>120</v>
      </c>
      <c r="G164" s="6">
        <v>14.543025800000001</v>
      </c>
    </row>
    <row r="165" spans="1:7" x14ac:dyDescent="0.2">
      <c r="A165" s="6" t="s">
        <v>493</v>
      </c>
      <c r="B165" s="6" t="s">
        <v>488</v>
      </c>
      <c r="C165" s="6" t="s">
        <v>75</v>
      </c>
      <c r="D165" s="6" t="s">
        <v>491</v>
      </c>
      <c r="E165" s="6" t="s">
        <v>496</v>
      </c>
      <c r="F165" s="6">
        <v>120</v>
      </c>
      <c r="G165" s="6">
        <v>13.4225838</v>
      </c>
    </row>
    <row r="166" spans="1:7" x14ac:dyDescent="0.2">
      <c r="A166" s="6" t="s">
        <v>493</v>
      </c>
      <c r="B166" s="6" t="s">
        <v>488</v>
      </c>
      <c r="C166" s="6" t="s">
        <v>75</v>
      </c>
      <c r="D166" s="6" t="s">
        <v>492</v>
      </c>
      <c r="E166" s="6" t="s">
        <v>496</v>
      </c>
      <c r="F166" s="6">
        <v>120</v>
      </c>
      <c r="G166" s="6">
        <v>14.416322600000001</v>
      </c>
    </row>
    <row r="167" spans="1:7" x14ac:dyDescent="0.2">
      <c r="A167" s="6" t="s">
        <v>493</v>
      </c>
      <c r="B167" s="6" t="s">
        <v>488</v>
      </c>
      <c r="C167" s="6" t="s">
        <v>75</v>
      </c>
      <c r="D167" s="6" t="s">
        <v>489</v>
      </c>
      <c r="E167" s="6" t="s">
        <v>496</v>
      </c>
      <c r="F167" s="6">
        <v>168</v>
      </c>
      <c r="G167" s="6">
        <v>14.3775113</v>
      </c>
    </row>
    <row r="168" spans="1:7" x14ac:dyDescent="0.2">
      <c r="A168" s="6" t="s">
        <v>493</v>
      </c>
      <c r="B168" s="6" t="s">
        <v>488</v>
      </c>
      <c r="C168" s="6" t="s">
        <v>75</v>
      </c>
      <c r="D168" s="6" t="s">
        <v>491</v>
      </c>
      <c r="E168" s="6" t="s">
        <v>496</v>
      </c>
      <c r="F168" s="6">
        <v>168</v>
      </c>
      <c r="G168" s="6">
        <v>15.0686629</v>
      </c>
    </row>
    <row r="169" spans="1:7" x14ac:dyDescent="0.2">
      <c r="A169" s="6" t="s">
        <v>493</v>
      </c>
      <c r="B169" s="6" t="s">
        <v>488</v>
      </c>
      <c r="C169" s="6" t="s">
        <v>75</v>
      </c>
      <c r="D169" s="6" t="s">
        <v>492</v>
      </c>
      <c r="E169" s="6" t="s">
        <v>496</v>
      </c>
      <c r="F169" s="6">
        <v>168</v>
      </c>
      <c r="G169" s="6">
        <v>13.6749273</v>
      </c>
    </row>
    <row r="170" spans="1:7" x14ac:dyDescent="0.2">
      <c r="A170" s="6" t="s">
        <v>487</v>
      </c>
      <c r="B170" s="6" t="s">
        <v>488</v>
      </c>
      <c r="C170" s="6" t="s">
        <v>75</v>
      </c>
      <c r="D170" s="6" t="s">
        <v>489</v>
      </c>
      <c r="E170" s="6" t="s">
        <v>497</v>
      </c>
      <c r="F170" s="6">
        <v>0</v>
      </c>
      <c r="G170" s="6">
        <v>2.6544999999999999E-2</v>
      </c>
    </row>
    <row r="171" spans="1:7" x14ac:dyDescent="0.2">
      <c r="A171" s="6" t="s">
        <v>487</v>
      </c>
      <c r="B171" s="6" t="s">
        <v>488</v>
      </c>
      <c r="C171" s="6" t="s">
        <v>75</v>
      </c>
      <c r="D171" s="6" t="s">
        <v>491</v>
      </c>
      <c r="E171" s="6" t="s">
        <v>497</v>
      </c>
      <c r="F171" s="6">
        <v>0</v>
      </c>
      <c r="G171" s="6">
        <v>0.16182714000000001</v>
      </c>
    </row>
    <row r="172" spans="1:7" x14ac:dyDescent="0.2">
      <c r="A172" s="6" t="s">
        <v>487</v>
      </c>
      <c r="B172" s="6" t="s">
        <v>488</v>
      </c>
      <c r="C172" s="6" t="s">
        <v>75</v>
      </c>
      <c r="D172" s="6" t="s">
        <v>492</v>
      </c>
      <c r="E172" s="6" t="s">
        <v>497</v>
      </c>
      <c r="F172" s="6">
        <v>0</v>
      </c>
      <c r="G172" s="6">
        <v>0.10406751</v>
      </c>
    </row>
    <row r="173" spans="1:7" x14ac:dyDescent="0.2">
      <c r="A173" s="6" t="s">
        <v>487</v>
      </c>
      <c r="B173" s="6" t="s">
        <v>488</v>
      </c>
      <c r="C173" s="6" t="s">
        <v>75</v>
      </c>
      <c r="D173" s="6" t="s">
        <v>489</v>
      </c>
      <c r="E173" s="6" t="s">
        <v>497</v>
      </c>
      <c r="F173" s="6">
        <v>24</v>
      </c>
      <c r="G173" s="6">
        <v>0.11364223</v>
      </c>
    </row>
    <row r="174" spans="1:7" x14ac:dyDescent="0.2">
      <c r="A174" s="6" t="s">
        <v>487</v>
      </c>
      <c r="B174" s="6" t="s">
        <v>488</v>
      </c>
      <c r="C174" s="6" t="s">
        <v>75</v>
      </c>
      <c r="D174" s="6" t="s">
        <v>491</v>
      </c>
      <c r="E174" s="6" t="s">
        <v>497</v>
      </c>
      <c r="F174" s="6">
        <v>24</v>
      </c>
      <c r="G174" s="6">
        <v>0.13610688000000001</v>
      </c>
    </row>
    <row r="175" spans="1:7" x14ac:dyDescent="0.2">
      <c r="A175" s="6" t="s">
        <v>487</v>
      </c>
      <c r="B175" s="6" t="s">
        <v>488</v>
      </c>
      <c r="C175" s="6" t="s">
        <v>75</v>
      </c>
      <c r="D175" s="6" t="s">
        <v>492</v>
      </c>
      <c r="E175" s="6" t="s">
        <v>497</v>
      </c>
      <c r="F175" s="6">
        <v>24</v>
      </c>
      <c r="G175" s="6">
        <v>0.13458924999999999</v>
      </c>
    </row>
    <row r="176" spans="1:7" x14ac:dyDescent="0.2">
      <c r="A176" s="6" t="s">
        <v>487</v>
      </c>
      <c r="B176" s="6" t="s">
        <v>488</v>
      </c>
      <c r="C176" s="6" t="s">
        <v>75</v>
      </c>
      <c r="D176" s="6" t="s">
        <v>489</v>
      </c>
      <c r="E176" s="6" t="s">
        <v>497</v>
      </c>
      <c r="F176" s="6">
        <v>48</v>
      </c>
      <c r="G176" s="6">
        <v>0.16243616</v>
      </c>
    </row>
    <row r="177" spans="1:7" x14ac:dyDescent="0.2">
      <c r="A177" s="6" t="s">
        <v>487</v>
      </c>
      <c r="B177" s="6" t="s">
        <v>488</v>
      </c>
      <c r="C177" s="6" t="s">
        <v>75</v>
      </c>
      <c r="D177" s="6" t="s">
        <v>491</v>
      </c>
      <c r="E177" s="6" t="s">
        <v>497</v>
      </c>
      <c r="F177" s="6">
        <v>48</v>
      </c>
      <c r="G177" s="6">
        <v>0.19602528</v>
      </c>
    </row>
    <row r="178" spans="1:7" x14ac:dyDescent="0.2">
      <c r="A178" s="6" t="s">
        <v>487</v>
      </c>
      <c r="B178" s="6" t="s">
        <v>488</v>
      </c>
      <c r="C178" s="6" t="s">
        <v>75</v>
      </c>
      <c r="D178" s="6" t="s">
        <v>492</v>
      </c>
      <c r="E178" s="6" t="s">
        <v>497</v>
      </c>
      <c r="F178" s="6">
        <v>48</v>
      </c>
      <c r="G178" s="6">
        <v>0.16741027999999999</v>
      </c>
    </row>
    <row r="179" spans="1:7" x14ac:dyDescent="0.2">
      <c r="A179" s="6" t="s">
        <v>487</v>
      </c>
      <c r="B179" s="6" t="s">
        <v>488</v>
      </c>
      <c r="C179" s="6" t="s">
        <v>75</v>
      </c>
      <c r="D179" s="6" t="s">
        <v>489</v>
      </c>
      <c r="E179" s="6" t="s">
        <v>497</v>
      </c>
      <c r="F179" s="6">
        <v>72</v>
      </c>
      <c r="G179" s="6">
        <v>0.27637100999999997</v>
      </c>
    </row>
    <row r="180" spans="1:7" x14ac:dyDescent="0.2">
      <c r="A180" s="6" t="s">
        <v>487</v>
      </c>
      <c r="B180" s="6" t="s">
        <v>488</v>
      </c>
      <c r="C180" s="6" t="s">
        <v>75</v>
      </c>
      <c r="D180" s="6" t="s">
        <v>491</v>
      </c>
      <c r="E180" s="6" t="s">
        <v>497</v>
      </c>
      <c r="F180" s="6">
        <v>72</v>
      </c>
      <c r="G180" s="6">
        <v>0.28174797000000001</v>
      </c>
    </row>
    <row r="181" spans="1:7" x14ac:dyDescent="0.2">
      <c r="A181" s="6" t="s">
        <v>487</v>
      </c>
      <c r="B181" s="6" t="s">
        <v>488</v>
      </c>
      <c r="C181" s="6" t="s">
        <v>75</v>
      </c>
      <c r="D181" s="6" t="s">
        <v>492</v>
      </c>
      <c r="E181" s="6" t="s">
        <v>497</v>
      </c>
      <c r="F181" s="6">
        <v>72</v>
      </c>
      <c r="G181" s="6">
        <v>0.30689775000000002</v>
      </c>
    </row>
    <row r="182" spans="1:7" x14ac:dyDescent="0.2">
      <c r="A182" s="6" t="s">
        <v>487</v>
      </c>
      <c r="B182" s="6" t="s">
        <v>488</v>
      </c>
      <c r="C182" s="6" t="s">
        <v>75</v>
      </c>
      <c r="D182" s="6" t="s">
        <v>489</v>
      </c>
      <c r="E182" s="6" t="s">
        <v>497</v>
      </c>
      <c r="F182" s="6">
        <v>96</v>
      </c>
      <c r="G182" s="6">
        <v>0.46266878</v>
      </c>
    </row>
    <row r="183" spans="1:7" x14ac:dyDescent="0.2">
      <c r="A183" s="6" t="s">
        <v>487</v>
      </c>
      <c r="B183" s="6" t="s">
        <v>488</v>
      </c>
      <c r="C183" s="6" t="s">
        <v>75</v>
      </c>
      <c r="D183" s="6" t="s">
        <v>491</v>
      </c>
      <c r="E183" s="6" t="s">
        <v>497</v>
      </c>
      <c r="F183" s="6">
        <v>96</v>
      </c>
      <c r="G183" s="6">
        <v>0.49478618000000002</v>
      </c>
    </row>
    <row r="184" spans="1:7" x14ac:dyDescent="0.2">
      <c r="A184" s="6" t="s">
        <v>487</v>
      </c>
      <c r="B184" s="6" t="s">
        <v>488</v>
      </c>
      <c r="C184" s="6" t="s">
        <v>75</v>
      </c>
      <c r="D184" s="6" t="s">
        <v>492</v>
      </c>
      <c r="E184" s="6" t="s">
        <v>497</v>
      </c>
      <c r="F184" s="6">
        <v>96</v>
      </c>
      <c r="G184" s="6">
        <v>0.49415276000000002</v>
      </c>
    </row>
    <row r="185" spans="1:7" x14ac:dyDescent="0.2">
      <c r="A185" s="6" t="s">
        <v>487</v>
      </c>
      <c r="B185" s="6" t="s">
        <v>488</v>
      </c>
      <c r="C185" s="6" t="s">
        <v>75</v>
      </c>
      <c r="D185" s="6" t="s">
        <v>489</v>
      </c>
      <c r="E185" s="6" t="s">
        <v>497</v>
      </c>
      <c r="F185" s="6">
        <v>120</v>
      </c>
      <c r="G185" s="6">
        <v>0.61070078000000005</v>
      </c>
    </row>
    <row r="186" spans="1:7" x14ac:dyDescent="0.2">
      <c r="A186" s="6" t="s">
        <v>487</v>
      </c>
      <c r="B186" s="6" t="s">
        <v>488</v>
      </c>
      <c r="C186" s="6" t="s">
        <v>75</v>
      </c>
      <c r="D186" s="6" t="s">
        <v>491</v>
      </c>
      <c r="E186" s="6" t="s">
        <v>497</v>
      </c>
      <c r="F186" s="6">
        <v>120</v>
      </c>
      <c r="G186" s="6">
        <v>0.53922762000000002</v>
      </c>
    </row>
    <row r="187" spans="1:7" x14ac:dyDescent="0.2">
      <c r="A187" s="6" t="s">
        <v>487</v>
      </c>
      <c r="B187" s="6" t="s">
        <v>488</v>
      </c>
      <c r="C187" s="6" t="s">
        <v>75</v>
      </c>
      <c r="D187" s="6" t="s">
        <v>492</v>
      </c>
      <c r="E187" s="6" t="s">
        <v>497</v>
      </c>
      <c r="F187" s="6">
        <v>120</v>
      </c>
      <c r="G187" s="6">
        <v>0.54910643000000003</v>
      </c>
    </row>
    <row r="188" spans="1:7" x14ac:dyDescent="0.2">
      <c r="A188" s="6" t="s">
        <v>487</v>
      </c>
      <c r="B188" s="6" t="s">
        <v>488</v>
      </c>
      <c r="C188" s="6" t="s">
        <v>75</v>
      </c>
      <c r="D188" s="6" t="s">
        <v>489</v>
      </c>
      <c r="E188" s="6" t="s">
        <v>497</v>
      </c>
      <c r="F188" s="6">
        <v>168</v>
      </c>
      <c r="G188" s="6">
        <v>0.90900230999999998</v>
      </c>
    </row>
    <row r="189" spans="1:7" x14ac:dyDescent="0.2">
      <c r="A189" s="6" t="s">
        <v>487</v>
      </c>
      <c r="B189" s="6" t="s">
        <v>488</v>
      </c>
      <c r="C189" s="6" t="s">
        <v>75</v>
      </c>
      <c r="D189" s="6" t="s">
        <v>491</v>
      </c>
      <c r="E189" s="6" t="s">
        <v>497</v>
      </c>
      <c r="F189" s="6">
        <v>168</v>
      </c>
      <c r="G189" s="6">
        <v>0.74804411999999998</v>
      </c>
    </row>
    <row r="190" spans="1:7" x14ac:dyDescent="0.2">
      <c r="A190" s="6" t="s">
        <v>487</v>
      </c>
      <c r="B190" s="6" t="s">
        <v>488</v>
      </c>
      <c r="C190" s="6" t="s">
        <v>75</v>
      </c>
      <c r="D190" s="6" t="s">
        <v>492</v>
      </c>
      <c r="E190" s="6" t="s">
        <v>497</v>
      </c>
      <c r="F190" s="6">
        <v>168</v>
      </c>
      <c r="G190" s="6">
        <v>0.82801606000000005</v>
      </c>
    </row>
    <row r="191" spans="1:7" x14ac:dyDescent="0.2">
      <c r="A191" s="6" t="s">
        <v>493</v>
      </c>
      <c r="B191" s="6" t="s">
        <v>488</v>
      </c>
      <c r="C191" s="6" t="s">
        <v>75</v>
      </c>
      <c r="D191" s="6" t="s">
        <v>489</v>
      </c>
      <c r="E191" s="6" t="s">
        <v>497</v>
      </c>
      <c r="F191" s="6">
        <v>0</v>
      </c>
      <c r="G191" s="6">
        <v>9.7414929999999997E-2</v>
      </c>
    </row>
    <row r="192" spans="1:7" x14ac:dyDescent="0.2">
      <c r="A192" s="6" t="s">
        <v>493</v>
      </c>
      <c r="B192" s="6" t="s">
        <v>488</v>
      </c>
      <c r="C192" s="6" t="s">
        <v>75</v>
      </c>
      <c r="D192" s="6" t="s">
        <v>491</v>
      </c>
      <c r="E192" s="6" t="s">
        <v>497</v>
      </c>
      <c r="F192" s="6">
        <v>0</v>
      </c>
      <c r="G192" s="6">
        <v>0.10754354000000001</v>
      </c>
    </row>
    <row r="193" spans="1:7" x14ac:dyDescent="0.2">
      <c r="A193" s="6" t="s">
        <v>493</v>
      </c>
      <c r="B193" s="6" t="s">
        <v>488</v>
      </c>
      <c r="C193" s="6" t="s">
        <v>75</v>
      </c>
      <c r="D193" s="6" t="s">
        <v>492</v>
      </c>
      <c r="E193" s="6" t="s">
        <v>497</v>
      </c>
      <c r="F193" s="6">
        <v>0</v>
      </c>
      <c r="G193" s="6">
        <v>8.988372E-2</v>
      </c>
    </row>
    <row r="194" spans="1:7" x14ac:dyDescent="0.2">
      <c r="A194" s="6" t="s">
        <v>493</v>
      </c>
      <c r="B194" s="6" t="s">
        <v>488</v>
      </c>
      <c r="C194" s="6" t="s">
        <v>75</v>
      </c>
      <c r="D194" s="6" t="s">
        <v>489</v>
      </c>
      <c r="E194" s="6" t="s">
        <v>497</v>
      </c>
      <c r="F194" s="6">
        <v>24</v>
      </c>
      <c r="G194" s="6">
        <v>0.20055855</v>
      </c>
    </row>
    <row r="195" spans="1:7" x14ac:dyDescent="0.2">
      <c r="A195" s="6" t="s">
        <v>493</v>
      </c>
      <c r="B195" s="6" t="s">
        <v>488</v>
      </c>
      <c r="C195" s="6" t="s">
        <v>75</v>
      </c>
      <c r="D195" s="6" t="s">
        <v>491</v>
      </c>
      <c r="E195" s="6" t="s">
        <v>497</v>
      </c>
      <c r="F195" s="6">
        <v>24</v>
      </c>
      <c r="G195" s="6">
        <v>0.19078521000000001</v>
      </c>
    </row>
    <row r="196" spans="1:7" x14ac:dyDescent="0.2">
      <c r="A196" s="6" t="s">
        <v>493</v>
      </c>
      <c r="B196" s="6" t="s">
        <v>488</v>
      </c>
      <c r="C196" s="6" t="s">
        <v>75</v>
      </c>
      <c r="D196" s="6" t="s">
        <v>492</v>
      </c>
      <c r="E196" s="6" t="s">
        <v>497</v>
      </c>
      <c r="F196" s="6">
        <v>24</v>
      </c>
      <c r="G196" s="6">
        <v>0.39607345999999999</v>
      </c>
    </row>
    <row r="197" spans="1:7" x14ac:dyDescent="0.2">
      <c r="A197" s="6" t="s">
        <v>493</v>
      </c>
      <c r="B197" s="6" t="s">
        <v>488</v>
      </c>
      <c r="C197" s="6" t="s">
        <v>75</v>
      </c>
      <c r="D197" s="6" t="s">
        <v>489</v>
      </c>
      <c r="E197" s="6" t="s">
        <v>497</v>
      </c>
      <c r="F197" s="6">
        <v>48</v>
      </c>
      <c r="G197" s="6">
        <v>0.66025719000000005</v>
      </c>
    </row>
    <row r="198" spans="1:7" x14ac:dyDescent="0.2">
      <c r="A198" s="6" t="s">
        <v>493</v>
      </c>
      <c r="B198" s="6" t="s">
        <v>488</v>
      </c>
      <c r="C198" s="6" t="s">
        <v>75</v>
      </c>
      <c r="D198" s="6" t="s">
        <v>491</v>
      </c>
      <c r="E198" s="6" t="s">
        <v>497</v>
      </c>
      <c r="F198" s="6">
        <v>48</v>
      </c>
      <c r="G198" s="6">
        <v>0.67447794999999999</v>
      </c>
    </row>
    <row r="199" spans="1:7" x14ac:dyDescent="0.2">
      <c r="A199" s="6" t="s">
        <v>493</v>
      </c>
      <c r="B199" s="6" t="s">
        <v>488</v>
      </c>
      <c r="C199" s="6" t="s">
        <v>75</v>
      </c>
      <c r="D199" s="6" t="s">
        <v>492</v>
      </c>
      <c r="E199" s="6" t="s">
        <v>497</v>
      </c>
      <c r="F199" s="6">
        <v>48</v>
      </c>
      <c r="G199" s="6">
        <v>0.81979338999999996</v>
      </c>
    </row>
    <row r="200" spans="1:7" x14ac:dyDescent="0.2">
      <c r="A200" s="6" t="s">
        <v>493</v>
      </c>
      <c r="B200" s="6" t="s">
        <v>488</v>
      </c>
      <c r="C200" s="6" t="s">
        <v>75</v>
      </c>
      <c r="D200" s="6" t="s">
        <v>489</v>
      </c>
      <c r="E200" s="6" t="s">
        <v>497</v>
      </c>
      <c r="F200" s="6">
        <v>72</v>
      </c>
      <c r="G200" s="6">
        <v>0.81803707999999997</v>
      </c>
    </row>
    <row r="201" spans="1:7" x14ac:dyDescent="0.2">
      <c r="A201" s="6" t="s">
        <v>493</v>
      </c>
      <c r="B201" s="6" t="s">
        <v>488</v>
      </c>
      <c r="C201" s="6" t="s">
        <v>75</v>
      </c>
      <c r="D201" s="6" t="s">
        <v>491</v>
      </c>
      <c r="E201" s="6" t="s">
        <v>497</v>
      </c>
      <c r="F201" s="6">
        <v>72</v>
      </c>
      <c r="G201" s="6">
        <v>0.82693408000000002</v>
      </c>
    </row>
    <row r="202" spans="1:7" x14ac:dyDescent="0.2">
      <c r="A202" s="6" t="s">
        <v>493</v>
      </c>
      <c r="B202" s="6" t="s">
        <v>488</v>
      </c>
      <c r="C202" s="6" t="s">
        <v>75</v>
      </c>
      <c r="D202" s="6" t="s">
        <v>492</v>
      </c>
      <c r="E202" s="6" t="s">
        <v>497</v>
      </c>
      <c r="F202" s="6">
        <v>72</v>
      </c>
      <c r="G202" s="6">
        <v>0.82694104000000002</v>
      </c>
    </row>
    <row r="203" spans="1:7" x14ac:dyDescent="0.2">
      <c r="A203" s="6" t="s">
        <v>493</v>
      </c>
      <c r="B203" s="6" t="s">
        <v>488</v>
      </c>
      <c r="C203" s="6" t="s">
        <v>75</v>
      </c>
      <c r="D203" s="6" t="s">
        <v>489</v>
      </c>
      <c r="E203" s="6" t="s">
        <v>497</v>
      </c>
      <c r="F203" s="6">
        <v>96</v>
      </c>
      <c r="G203" s="6">
        <v>0.91259473999999996</v>
      </c>
    </row>
    <row r="204" spans="1:7" x14ac:dyDescent="0.2">
      <c r="A204" s="6" t="s">
        <v>493</v>
      </c>
      <c r="B204" s="6" t="s">
        <v>488</v>
      </c>
      <c r="C204" s="6" t="s">
        <v>75</v>
      </c>
      <c r="D204" s="6" t="s">
        <v>491</v>
      </c>
      <c r="E204" s="6" t="s">
        <v>497</v>
      </c>
      <c r="F204" s="6">
        <v>96</v>
      </c>
      <c r="G204" s="6">
        <v>0.77901577</v>
      </c>
    </row>
    <row r="205" spans="1:7" x14ac:dyDescent="0.2">
      <c r="A205" s="6" t="s">
        <v>493</v>
      </c>
      <c r="B205" s="6" t="s">
        <v>488</v>
      </c>
      <c r="C205" s="6" t="s">
        <v>75</v>
      </c>
      <c r="D205" s="6" t="s">
        <v>492</v>
      </c>
      <c r="E205" s="6" t="s">
        <v>497</v>
      </c>
      <c r="F205" s="6">
        <v>96</v>
      </c>
      <c r="G205" s="6">
        <v>0.93582502999999995</v>
      </c>
    </row>
    <row r="206" spans="1:7" x14ac:dyDescent="0.2">
      <c r="A206" s="6" t="s">
        <v>493</v>
      </c>
      <c r="B206" s="6" t="s">
        <v>488</v>
      </c>
      <c r="C206" s="6" t="s">
        <v>75</v>
      </c>
      <c r="D206" s="6" t="s">
        <v>489</v>
      </c>
      <c r="E206" s="6" t="s">
        <v>497</v>
      </c>
      <c r="F206" s="6">
        <v>120</v>
      </c>
      <c r="G206" s="6">
        <v>0.85397997000000003</v>
      </c>
    </row>
    <row r="207" spans="1:7" x14ac:dyDescent="0.2">
      <c r="A207" s="6" t="s">
        <v>493</v>
      </c>
      <c r="B207" s="6" t="s">
        <v>488</v>
      </c>
      <c r="C207" s="6" t="s">
        <v>75</v>
      </c>
      <c r="D207" s="6" t="s">
        <v>491</v>
      </c>
      <c r="E207" s="6" t="s">
        <v>497</v>
      </c>
      <c r="F207" s="6">
        <v>120</v>
      </c>
      <c r="G207" s="6">
        <v>0.82011431000000001</v>
      </c>
    </row>
    <row r="208" spans="1:7" x14ac:dyDescent="0.2">
      <c r="A208" s="6" t="s">
        <v>493</v>
      </c>
      <c r="B208" s="6" t="s">
        <v>488</v>
      </c>
      <c r="C208" s="6" t="s">
        <v>75</v>
      </c>
      <c r="D208" s="6" t="s">
        <v>492</v>
      </c>
      <c r="E208" s="6" t="s">
        <v>497</v>
      </c>
      <c r="F208" s="6">
        <v>120</v>
      </c>
      <c r="G208" s="6">
        <v>0.87757262000000003</v>
      </c>
    </row>
    <row r="209" spans="1:7" x14ac:dyDescent="0.2">
      <c r="A209" s="6" t="s">
        <v>493</v>
      </c>
      <c r="B209" s="6" t="s">
        <v>488</v>
      </c>
      <c r="C209" s="6" t="s">
        <v>75</v>
      </c>
      <c r="D209" s="6" t="s">
        <v>489</v>
      </c>
      <c r="E209" s="6" t="s">
        <v>497</v>
      </c>
      <c r="F209" s="6">
        <v>168</v>
      </c>
      <c r="G209" s="6">
        <v>0.91077430000000004</v>
      </c>
    </row>
    <row r="210" spans="1:7" x14ac:dyDescent="0.2">
      <c r="A210" s="6" t="s">
        <v>493</v>
      </c>
      <c r="B210" s="6" t="s">
        <v>488</v>
      </c>
      <c r="C210" s="6" t="s">
        <v>75</v>
      </c>
      <c r="D210" s="6" t="s">
        <v>491</v>
      </c>
      <c r="E210" s="6" t="s">
        <v>497</v>
      </c>
      <c r="F210" s="6">
        <v>168</v>
      </c>
      <c r="G210" s="6">
        <v>0.94811356999999996</v>
      </c>
    </row>
    <row r="211" spans="1:7" x14ac:dyDescent="0.2">
      <c r="A211" s="6" t="s">
        <v>493</v>
      </c>
      <c r="B211" s="6" t="s">
        <v>488</v>
      </c>
      <c r="C211" s="6" t="s">
        <v>75</v>
      </c>
      <c r="D211" s="6" t="s">
        <v>492</v>
      </c>
      <c r="E211" s="6" t="s">
        <v>497</v>
      </c>
      <c r="F211" s="6">
        <v>168</v>
      </c>
      <c r="G211" s="6">
        <v>0.92414240999999997</v>
      </c>
    </row>
    <row r="212" spans="1:7" x14ac:dyDescent="0.2">
      <c r="A212" s="6" t="s">
        <v>487</v>
      </c>
      <c r="B212" s="6" t="s">
        <v>488</v>
      </c>
      <c r="C212" s="6" t="s">
        <v>75</v>
      </c>
      <c r="D212" s="6" t="s">
        <v>489</v>
      </c>
      <c r="E212" s="6" t="s">
        <v>498</v>
      </c>
      <c r="F212" s="6">
        <v>0</v>
      </c>
      <c r="G212" s="6">
        <v>0.21458037999999999</v>
      </c>
    </row>
    <row r="213" spans="1:7" x14ac:dyDescent="0.2">
      <c r="A213" s="6" t="s">
        <v>487</v>
      </c>
      <c r="B213" s="6" t="s">
        <v>488</v>
      </c>
      <c r="C213" s="6" t="s">
        <v>75</v>
      </c>
      <c r="D213" s="6" t="s">
        <v>491</v>
      </c>
      <c r="E213" s="6" t="s">
        <v>498</v>
      </c>
      <c r="F213" s="6">
        <v>0</v>
      </c>
      <c r="G213" s="6">
        <v>0.48838865999999997</v>
      </c>
    </row>
    <row r="214" spans="1:7" x14ac:dyDescent="0.2">
      <c r="A214" s="6" t="s">
        <v>487</v>
      </c>
      <c r="B214" s="6" t="s">
        <v>488</v>
      </c>
      <c r="C214" s="6" t="s">
        <v>75</v>
      </c>
      <c r="D214" s="6" t="s">
        <v>492</v>
      </c>
      <c r="E214" s="6" t="s">
        <v>498</v>
      </c>
      <c r="F214" s="6">
        <v>0</v>
      </c>
      <c r="G214" s="6">
        <v>0.36630621000000002</v>
      </c>
    </row>
    <row r="215" spans="1:7" x14ac:dyDescent="0.2">
      <c r="A215" s="6" t="s">
        <v>487</v>
      </c>
      <c r="B215" s="6" t="s">
        <v>488</v>
      </c>
      <c r="C215" s="6" t="s">
        <v>75</v>
      </c>
      <c r="D215" s="6" t="s">
        <v>489</v>
      </c>
      <c r="E215" s="6" t="s">
        <v>498</v>
      </c>
      <c r="F215" s="6">
        <v>24</v>
      </c>
      <c r="G215" s="6">
        <v>3.2259253000000001</v>
      </c>
    </row>
    <row r="216" spans="1:7" x14ac:dyDescent="0.2">
      <c r="A216" s="6" t="s">
        <v>487</v>
      </c>
      <c r="B216" s="6" t="s">
        <v>488</v>
      </c>
      <c r="C216" s="6" t="s">
        <v>75</v>
      </c>
      <c r="D216" s="6" t="s">
        <v>491</v>
      </c>
      <c r="E216" s="6" t="s">
        <v>498</v>
      </c>
      <c r="F216" s="6">
        <v>24</v>
      </c>
      <c r="G216" s="6">
        <v>3.5224325400000001</v>
      </c>
    </row>
    <row r="217" spans="1:7" x14ac:dyDescent="0.2">
      <c r="A217" s="6" t="s">
        <v>487</v>
      </c>
      <c r="B217" s="6" t="s">
        <v>488</v>
      </c>
      <c r="C217" s="6" t="s">
        <v>75</v>
      </c>
      <c r="D217" s="6" t="s">
        <v>492</v>
      </c>
      <c r="E217" s="6" t="s">
        <v>498</v>
      </c>
      <c r="F217" s="6">
        <v>24</v>
      </c>
      <c r="G217" s="6">
        <v>3.3598896100000002</v>
      </c>
    </row>
    <row r="218" spans="1:7" x14ac:dyDescent="0.2">
      <c r="A218" s="6" t="s">
        <v>487</v>
      </c>
      <c r="B218" s="6" t="s">
        <v>488</v>
      </c>
      <c r="C218" s="6" t="s">
        <v>75</v>
      </c>
      <c r="D218" s="6" t="s">
        <v>489</v>
      </c>
      <c r="E218" s="6" t="s">
        <v>498</v>
      </c>
      <c r="F218" s="6">
        <v>48</v>
      </c>
      <c r="G218" s="6">
        <v>2.1952474199999998</v>
      </c>
    </row>
    <row r="219" spans="1:7" x14ac:dyDescent="0.2">
      <c r="A219" s="6" t="s">
        <v>487</v>
      </c>
      <c r="B219" s="6" t="s">
        <v>488</v>
      </c>
      <c r="C219" s="6" t="s">
        <v>75</v>
      </c>
      <c r="D219" s="6" t="s">
        <v>491</v>
      </c>
      <c r="E219" s="6" t="s">
        <v>498</v>
      </c>
      <c r="F219" s="6">
        <v>48</v>
      </c>
      <c r="G219" s="6">
        <v>2.2071488000000001</v>
      </c>
    </row>
    <row r="220" spans="1:7" x14ac:dyDescent="0.2">
      <c r="A220" s="6" t="s">
        <v>487</v>
      </c>
      <c r="B220" s="6" t="s">
        <v>488</v>
      </c>
      <c r="C220" s="6" t="s">
        <v>75</v>
      </c>
      <c r="D220" s="6" t="s">
        <v>492</v>
      </c>
      <c r="E220" s="6" t="s">
        <v>498</v>
      </c>
      <c r="F220" s="6">
        <v>48</v>
      </c>
      <c r="G220" s="6">
        <v>2.09386107</v>
      </c>
    </row>
    <row r="221" spans="1:7" x14ac:dyDescent="0.2">
      <c r="A221" s="6" t="s">
        <v>487</v>
      </c>
      <c r="B221" s="6" t="s">
        <v>488</v>
      </c>
      <c r="C221" s="6" t="s">
        <v>75</v>
      </c>
      <c r="D221" s="6" t="s">
        <v>489</v>
      </c>
      <c r="E221" s="6" t="s">
        <v>498</v>
      </c>
      <c r="F221" s="6">
        <v>72</v>
      </c>
      <c r="G221" s="6">
        <v>1.8844607600000001</v>
      </c>
    </row>
    <row r="222" spans="1:7" x14ac:dyDescent="0.2">
      <c r="A222" s="6" t="s">
        <v>487</v>
      </c>
      <c r="B222" s="6" t="s">
        <v>488</v>
      </c>
      <c r="C222" s="6" t="s">
        <v>75</v>
      </c>
      <c r="D222" s="6" t="s">
        <v>491</v>
      </c>
      <c r="E222" s="6" t="s">
        <v>498</v>
      </c>
      <c r="F222" s="6">
        <v>72</v>
      </c>
      <c r="G222" s="6">
        <v>1.9621662</v>
      </c>
    </row>
    <row r="223" spans="1:7" x14ac:dyDescent="0.2">
      <c r="A223" s="6" t="s">
        <v>487</v>
      </c>
      <c r="B223" s="6" t="s">
        <v>488</v>
      </c>
      <c r="C223" s="6" t="s">
        <v>75</v>
      </c>
      <c r="D223" s="6" t="s">
        <v>492</v>
      </c>
      <c r="E223" s="6" t="s">
        <v>498</v>
      </c>
      <c r="F223" s="6">
        <v>72</v>
      </c>
      <c r="G223" s="6">
        <v>2.0269632199999998</v>
      </c>
    </row>
    <row r="224" spans="1:7" x14ac:dyDescent="0.2">
      <c r="A224" s="6" t="s">
        <v>487</v>
      </c>
      <c r="B224" s="6" t="s">
        <v>488</v>
      </c>
      <c r="C224" s="6" t="s">
        <v>75</v>
      </c>
      <c r="D224" s="6" t="s">
        <v>489</v>
      </c>
      <c r="E224" s="6" t="s">
        <v>498</v>
      </c>
      <c r="F224" s="6">
        <v>96</v>
      </c>
      <c r="G224" s="6">
        <v>2.1078071299999999</v>
      </c>
    </row>
    <row r="225" spans="1:7" x14ac:dyDescent="0.2">
      <c r="A225" s="6" t="s">
        <v>487</v>
      </c>
      <c r="B225" s="6" t="s">
        <v>488</v>
      </c>
      <c r="C225" s="6" t="s">
        <v>75</v>
      </c>
      <c r="D225" s="6" t="s">
        <v>491</v>
      </c>
      <c r="E225" s="6" t="s">
        <v>498</v>
      </c>
      <c r="F225" s="6">
        <v>96</v>
      </c>
      <c r="G225" s="6">
        <v>2.1413914900000002</v>
      </c>
    </row>
    <row r="226" spans="1:7" x14ac:dyDescent="0.2">
      <c r="A226" s="6" t="s">
        <v>487</v>
      </c>
      <c r="B226" s="6" t="s">
        <v>488</v>
      </c>
      <c r="C226" s="6" t="s">
        <v>75</v>
      </c>
      <c r="D226" s="6" t="s">
        <v>492</v>
      </c>
      <c r="E226" s="6" t="s">
        <v>498</v>
      </c>
      <c r="F226" s="6">
        <v>96</v>
      </c>
      <c r="G226" s="6">
        <v>2.2544438699999998</v>
      </c>
    </row>
    <row r="227" spans="1:7" x14ac:dyDescent="0.2">
      <c r="A227" s="6" t="s">
        <v>487</v>
      </c>
      <c r="B227" s="6" t="s">
        <v>488</v>
      </c>
      <c r="C227" s="6" t="s">
        <v>75</v>
      </c>
      <c r="D227" s="6" t="s">
        <v>489</v>
      </c>
      <c r="E227" s="6" t="s">
        <v>498</v>
      </c>
      <c r="F227" s="6">
        <v>120</v>
      </c>
      <c r="G227" s="6">
        <v>2.2994302100000001</v>
      </c>
    </row>
    <row r="228" spans="1:7" x14ac:dyDescent="0.2">
      <c r="A228" s="6" t="s">
        <v>487</v>
      </c>
      <c r="B228" s="6" t="s">
        <v>488</v>
      </c>
      <c r="C228" s="6" t="s">
        <v>75</v>
      </c>
      <c r="D228" s="6" t="s">
        <v>491</v>
      </c>
      <c r="E228" s="6" t="s">
        <v>498</v>
      </c>
      <c r="F228" s="6">
        <v>120</v>
      </c>
      <c r="G228" s="6">
        <v>2.06280091</v>
      </c>
    </row>
    <row r="229" spans="1:7" x14ac:dyDescent="0.2">
      <c r="A229" s="6" t="s">
        <v>487</v>
      </c>
      <c r="B229" s="6" t="s">
        <v>488</v>
      </c>
      <c r="C229" s="6" t="s">
        <v>75</v>
      </c>
      <c r="D229" s="6" t="s">
        <v>492</v>
      </c>
      <c r="E229" s="6" t="s">
        <v>498</v>
      </c>
      <c r="F229" s="6">
        <v>120</v>
      </c>
      <c r="G229" s="6">
        <v>2.0414522000000002</v>
      </c>
    </row>
    <row r="230" spans="1:7" x14ac:dyDescent="0.2">
      <c r="A230" s="6" t="s">
        <v>487</v>
      </c>
      <c r="B230" s="6" t="s">
        <v>488</v>
      </c>
      <c r="C230" s="6" t="s">
        <v>75</v>
      </c>
      <c r="D230" s="6" t="s">
        <v>489</v>
      </c>
      <c r="E230" s="6" t="s">
        <v>498</v>
      </c>
      <c r="F230" s="6">
        <v>168</v>
      </c>
      <c r="G230" s="6">
        <v>2.6385610700000002</v>
      </c>
    </row>
    <row r="231" spans="1:7" x14ac:dyDescent="0.2">
      <c r="A231" s="6" t="s">
        <v>487</v>
      </c>
      <c r="B231" s="6" t="s">
        <v>488</v>
      </c>
      <c r="C231" s="6" t="s">
        <v>75</v>
      </c>
      <c r="D231" s="6" t="s">
        <v>491</v>
      </c>
      <c r="E231" s="6" t="s">
        <v>498</v>
      </c>
      <c r="F231" s="6">
        <v>168</v>
      </c>
      <c r="G231" s="6">
        <v>2.2824424200000002</v>
      </c>
    </row>
    <row r="232" spans="1:7" x14ac:dyDescent="0.2">
      <c r="A232" s="6" t="s">
        <v>487</v>
      </c>
      <c r="B232" s="6" t="s">
        <v>488</v>
      </c>
      <c r="C232" s="6" t="s">
        <v>75</v>
      </c>
      <c r="D232" s="6" t="s">
        <v>492</v>
      </c>
      <c r="E232" s="6" t="s">
        <v>498</v>
      </c>
      <c r="F232" s="6">
        <v>168</v>
      </c>
      <c r="G232" s="6">
        <v>2.4590634800000002</v>
      </c>
    </row>
    <row r="233" spans="1:7" x14ac:dyDescent="0.2">
      <c r="A233" s="6" t="s">
        <v>493</v>
      </c>
      <c r="B233" s="6" t="s">
        <v>488</v>
      </c>
      <c r="C233" s="6" t="s">
        <v>75</v>
      </c>
      <c r="D233" s="6" t="s">
        <v>489</v>
      </c>
      <c r="E233" s="6" t="s">
        <v>498</v>
      </c>
      <c r="F233" s="6">
        <v>0</v>
      </c>
      <c r="G233" s="6">
        <v>0.35659871999999998</v>
      </c>
    </row>
    <row r="234" spans="1:7" x14ac:dyDescent="0.2">
      <c r="A234" s="6" t="s">
        <v>493</v>
      </c>
      <c r="B234" s="6" t="s">
        <v>488</v>
      </c>
      <c r="C234" s="6" t="s">
        <v>75</v>
      </c>
      <c r="D234" s="6" t="s">
        <v>491</v>
      </c>
      <c r="E234" s="6" t="s">
        <v>498</v>
      </c>
      <c r="F234" s="6">
        <v>0</v>
      </c>
      <c r="G234" s="6">
        <v>0.37970365</v>
      </c>
    </row>
    <row r="235" spans="1:7" x14ac:dyDescent="0.2">
      <c r="A235" s="6" t="s">
        <v>493</v>
      </c>
      <c r="B235" s="6" t="s">
        <v>488</v>
      </c>
      <c r="C235" s="6" t="s">
        <v>75</v>
      </c>
      <c r="D235" s="6" t="s">
        <v>492</v>
      </c>
      <c r="E235" s="6" t="s">
        <v>498</v>
      </c>
      <c r="F235" s="6">
        <v>0</v>
      </c>
      <c r="G235" s="6">
        <v>0.33852164000000001</v>
      </c>
    </row>
    <row r="236" spans="1:7" x14ac:dyDescent="0.2">
      <c r="A236" s="6" t="s">
        <v>493</v>
      </c>
      <c r="B236" s="6" t="s">
        <v>488</v>
      </c>
      <c r="C236" s="6" t="s">
        <v>75</v>
      </c>
      <c r="D236" s="6" t="s">
        <v>489</v>
      </c>
      <c r="E236" s="6" t="s">
        <v>498</v>
      </c>
      <c r="F236" s="6">
        <v>24</v>
      </c>
      <c r="G236" s="6">
        <v>2.8278537799999999</v>
      </c>
    </row>
    <row r="237" spans="1:7" x14ac:dyDescent="0.2">
      <c r="A237" s="6" t="s">
        <v>493</v>
      </c>
      <c r="B237" s="6" t="s">
        <v>488</v>
      </c>
      <c r="C237" s="6" t="s">
        <v>75</v>
      </c>
      <c r="D237" s="6" t="s">
        <v>491</v>
      </c>
      <c r="E237" s="6" t="s">
        <v>498</v>
      </c>
      <c r="F237" s="6">
        <v>24</v>
      </c>
      <c r="G237" s="6">
        <v>2.5854743</v>
      </c>
    </row>
    <row r="238" spans="1:7" x14ac:dyDescent="0.2">
      <c r="A238" s="6" t="s">
        <v>493</v>
      </c>
      <c r="B238" s="6" t="s">
        <v>488</v>
      </c>
      <c r="C238" s="6" t="s">
        <v>75</v>
      </c>
      <c r="D238" s="6" t="s">
        <v>492</v>
      </c>
      <c r="E238" s="6" t="s">
        <v>498</v>
      </c>
      <c r="F238" s="6">
        <v>24</v>
      </c>
      <c r="G238" s="6">
        <v>3.4276292599999998</v>
      </c>
    </row>
    <row r="239" spans="1:7" x14ac:dyDescent="0.2">
      <c r="A239" s="6" t="s">
        <v>493</v>
      </c>
      <c r="B239" s="6" t="s">
        <v>488</v>
      </c>
      <c r="C239" s="6" t="s">
        <v>75</v>
      </c>
      <c r="D239" s="6" t="s">
        <v>489</v>
      </c>
      <c r="E239" s="6" t="s">
        <v>498</v>
      </c>
      <c r="F239" s="6">
        <v>48</v>
      </c>
      <c r="G239" s="6">
        <v>1.9768302799999999</v>
      </c>
    </row>
    <row r="240" spans="1:7" x14ac:dyDescent="0.2">
      <c r="A240" s="6" t="s">
        <v>493</v>
      </c>
      <c r="B240" s="6" t="s">
        <v>488</v>
      </c>
      <c r="C240" s="6" t="s">
        <v>75</v>
      </c>
      <c r="D240" s="6" t="s">
        <v>491</v>
      </c>
      <c r="E240" s="6" t="s">
        <v>498</v>
      </c>
      <c r="F240" s="6">
        <v>48</v>
      </c>
      <c r="G240" s="6">
        <v>2.0971814599999998</v>
      </c>
    </row>
    <row r="241" spans="1:7" x14ac:dyDescent="0.2">
      <c r="A241" s="6" t="s">
        <v>493</v>
      </c>
      <c r="B241" s="6" t="s">
        <v>488</v>
      </c>
      <c r="C241" s="6" t="s">
        <v>75</v>
      </c>
      <c r="D241" s="6" t="s">
        <v>492</v>
      </c>
      <c r="E241" s="6" t="s">
        <v>498</v>
      </c>
      <c r="F241" s="6">
        <v>48</v>
      </c>
      <c r="G241" s="6">
        <v>2.2623255900000001</v>
      </c>
    </row>
    <row r="242" spans="1:7" x14ac:dyDescent="0.2">
      <c r="A242" s="6" t="s">
        <v>493</v>
      </c>
      <c r="B242" s="6" t="s">
        <v>488</v>
      </c>
      <c r="C242" s="6" t="s">
        <v>75</v>
      </c>
      <c r="D242" s="6" t="s">
        <v>489</v>
      </c>
      <c r="E242" s="6" t="s">
        <v>498</v>
      </c>
      <c r="F242" s="6">
        <v>72</v>
      </c>
      <c r="G242" s="6">
        <v>2.2023291899999999</v>
      </c>
    </row>
    <row r="243" spans="1:7" x14ac:dyDescent="0.2">
      <c r="A243" s="6" t="s">
        <v>493</v>
      </c>
      <c r="B243" s="6" t="s">
        <v>488</v>
      </c>
      <c r="C243" s="6" t="s">
        <v>75</v>
      </c>
      <c r="D243" s="6" t="s">
        <v>491</v>
      </c>
      <c r="E243" s="6" t="s">
        <v>498</v>
      </c>
      <c r="F243" s="6">
        <v>72</v>
      </c>
      <c r="G243" s="6">
        <v>2.1867810599999999</v>
      </c>
    </row>
    <row r="244" spans="1:7" x14ac:dyDescent="0.2">
      <c r="A244" s="6" t="s">
        <v>493</v>
      </c>
      <c r="B244" s="6" t="s">
        <v>488</v>
      </c>
      <c r="C244" s="6" t="s">
        <v>75</v>
      </c>
      <c r="D244" s="6" t="s">
        <v>492</v>
      </c>
      <c r="E244" s="6" t="s">
        <v>498</v>
      </c>
      <c r="F244" s="6">
        <v>72</v>
      </c>
      <c r="G244" s="6">
        <v>2.1496136199999998</v>
      </c>
    </row>
    <row r="245" spans="1:7" x14ac:dyDescent="0.2">
      <c r="A245" s="6" t="s">
        <v>493</v>
      </c>
      <c r="B245" s="6" t="s">
        <v>488</v>
      </c>
      <c r="C245" s="6" t="s">
        <v>75</v>
      </c>
      <c r="D245" s="6" t="s">
        <v>489</v>
      </c>
      <c r="E245" s="6" t="s">
        <v>498</v>
      </c>
      <c r="F245" s="6">
        <v>96</v>
      </c>
      <c r="G245" s="6">
        <v>2.2275012300000001</v>
      </c>
    </row>
    <row r="246" spans="1:7" x14ac:dyDescent="0.2">
      <c r="A246" s="6" t="s">
        <v>493</v>
      </c>
      <c r="B246" s="6" t="s">
        <v>488</v>
      </c>
      <c r="C246" s="6" t="s">
        <v>75</v>
      </c>
      <c r="D246" s="6" t="s">
        <v>491</v>
      </c>
      <c r="E246" s="6" t="s">
        <v>498</v>
      </c>
      <c r="F246" s="6">
        <v>96</v>
      </c>
      <c r="G246" s="6">
        <v>2.02057164</v>
      </c>
    </row>
    <row r="247" spans="1:7" x14ac:dyDescent="0.2">
      <c r="A247" s="6" t="s">
        <v>493</v>
      </c>
      <c r="B247" s="6" t="s">
        <v>488</v>
      </c>
      <c r="C247" s="6" t="s">
        <v>75</v>
      </c>
      <c r="D247" s="6" t="s">
        <v>492</v>
      </c>
      <c r="E247" s="6" t="s">
        <v>498</v>
      </c>
      <c r="F247" s="6">
        <v>96</v>
      </c>
      <c r="G247" s="6">
        <v>2.32700906</v>
      </c>
    </row>
    <row r="248" spans="1:7" x14ac:dyDescent="0.2">
      <c r="A248" s="6" t="s">
        <v>493</v>
      </c>
      <c r="B248" s="6" t="s">
        <v>488</v>
      </c>
      <c r="C248" s="6" t="s">
        <v>75</v>
      </c>
      <c r="D248" s="6" t="s">
        <v>489</v>
      </c>
      <c r="E248" s="6" t="s">
        <v>498</v>
      </c>
      <c r="F248" s="6">
        <v>120</v>
      </c>
      <c r="G248" s="6">
        <v>2.07618013</v>
      </c>
    </row>
    <row r="249" spans="1:7" x14ac:dyDescent="0.2">
      <c r="A249" s="6" t="s">
        <v>493</v>
      </c>
      <c r="B249" s="6" t="s">
        <v>488</v>
      </c>
      <c r="C249" s="6" t="s">
        <v>75</v>
      </c>
      <c r="D249" s="6" t="s">
        <v>491</v>
      </c>
      <c r="E249" s="6" t="s">
        <v>498</v>
      </c>
      <c r="F249" s="6">
        <v>120</v>
      </c>
      <c r="G249" s="6">
        <v>1.93421563</v>
      </c>
    </row>
    <row r="250" spans="1:7" x14ac:dyDescent="0.2">
      <c r="A250" s="6" t="s">
        <v>493</v>
      </c>
      <c r="B250" s="6" t="s">
        <v>488</v>
      </c>
      <c r="C250" s="6" t="s">
        <v>75</v>
      </c>
      <c r="D250" s="6" t="s">
        <v>492</v>
      </c>
      <c r="E250" s="6" t="s">
        <v>498</v>
      </c>
      <c r="F250" s="6">
        <v>120</v>
      </c>
      <c r="G250" s="6">
        <v>2.0709570199999998</v>
      </c>
    </row>
    <row r="251" spans="1:7" x14ac:dyDescent="0.2">
      <c r="A251" s="6" t="s">
        <v>493</v>
      </c>
      <c r="B251" s="6" t="s">
        <v>488</v>
      </c>
      <c r="C251" s="6" t="s">
        <v>75</v>
      </c>
      <c r="D251" s="6" t="s">
        <v>489</v>
      </c>
      <c r="E251" s="6" t="s">
        <v>498</v>
      </c>
      <c r="F251" s="6">
        <v>168</v>
      </c>
      <c r="G251" s="6">
        <v>2.06782194</v>
      </c>
    </row>
    <row r="252" spans="1:7" x14ac:dyDescent="0.2">
      <c r="A252" s="6" t="s">
        <v>493</v>
      </c>
      <c r="B252" s="6" t="s">
        <v>488</v>
      </c>
      <c r="C252" s="6" t="s">
        <v>75</v>
      </c>
      <c r="D252" s="6" t="s">
        <v>491</v>
      </c>
      <c r="E252" s="6" t="s">
        <v>498</v>
      </c>
      <c r="F252" s="6">
        <v>168</v>
      </c>
      <c r="G252" s="6">
        <v>2.0456723800000001</v>
      </c>
    </row>
    <row r="253" spans="1:7" x14ac:dyDescent="0.2">
      <c r="A253" s="6" t="s">
        <v>493</v>
      </c>
      <c r="B253" s="6" t="s">
        <v>488</v>
      </c>
      <c r="C253" s="6" t="s">
        <v>75</v>
      </c>
      <c r="D253" s="6" t="s">
        <v>492</v>
      </c>
      <c r="E253" s="6" t="s">
        <v>498</v>
      </c>
      <c r="F253" s="6">
        <v>168</v>
      </c>
      <c r="G253" s="6">
        <v>2.1173027200000001</v>
      </c>
    </row>
    <row r="254" spans="1:7" x14ac:dyDescent="0.2">
      <c r="A254" s="6" t="s">
        <v>487</v>
      </c>
      <c r="B254" s="6" t="s">
        <v>488</v>
      </c>
      <c r="C254" s="6" t="s">
        <v>75</v>
      </c>
      <c r="D254" s="6" t="s">
        <v>489</v>
      </c>
      <c r="E254" s="6" t="s">
        <v>499</v>
      </c>
      <c r="F254" s="6">
        <v>0</v>
      </c>
      <c r="G254" s="6">
        <v>0</v>
      </c>
    </row>
    <row r="255" spans="1:7" x14ac:dyDescent="0.2">
      <c r="A255" s="6" t="s">
        <v>487</v>
      </c>
      <c r="B255" s="6" t="s">
        <v>488</v>
      </c>
      <c r="C255" s="6" t="s">
        <v>75</v>
      </c>
      <c r="D255" s="6" t="s">
        <v>491</v>
      </c>
      <c r="E255" s="6" t="s">
        <v>499</v>
      </c>
      <c r="F255" s="6">
        <v>0</v>
      </c>
      <c r="G255" s="6">
        <v>6.2527819999999998E-2</v>
      </c>
    </row>
    <row r="256" spans="1:7" x14ac:dyDescent="0.2">
      <c r="A256" s="6" t="s">
        <v>487</v>
      </c>
      <c r="B256" s="6" t="s">
        <v>488</v>
      </c>
      <c r="C256" s="6" t="s">
        <v>75</v>
      </c>
      <c r="D256" s="6" t="s">
        <v>492</v>
      </c>
      <c r="E256" s="6" t="s">
        <v>499</v>
      </c>
      <c r="F256" s="6">
        <v>0</v>
      </c>
      <c r="G256" s="6">
        <v>0</v>
      </c>
    </row>
    <row r="257" spans="1:7" x14ac:dyDescent="0.2">
      <c r="A257" s="6" t="s">
        <v>487</v>
      </c>
      <c r="B257" s="6" t="s">
        <v>488</v>
      </c>
      <c r="C257" s="6" t="s">
        <v>75</v>
      </c>
      <c r="D257" s="6" t="s">
        <v>489</v>
      </c>
      <c r="E257" s="6" t="s">
        <v>499</v>
      </c>
      <c r="F257" s="6">
        <v>24</v>
      </c>
      <c r="G257" s="6">
        <v>0</v>
      </c>
    </row>
    <row r="258" spans="1:7" x14ac:dyDescent="0.2">
      <c r="A258" s="6" t="s">
        <v>487</v>
      </c>
      <c r="B258" s="6" t="s">
        <v>488</v>
      </c>
      <c r="C258" s="6" t="s">
        <v>75</v>
      </c>
      <c r="D258" s="6" t="s">
        <v>491</v>
      </c>
      <c r="E258" s="6" t="s">
        <v>499</v>
      </c>
      <c r="F258" s="6">
        <v>24</v>
      </c>
      <c r="G258" s="6">
        <v>0</v>
      </c>
    </row>
    <row r="259" spans="1:7" x14ac:dyDescent="0.2">
      <c r="A259" s="6" t="s">
        <v>487</v>
      </c>
      <c r="B259" s="6" t="s">
        <v>488</v>
      </c>
      <c r="C259" s="6" t="s">
        <v>75</v>
      </c>
      <c r="D259" s="6" t="s">
        <v>492</v>
      </c>
      <c r="E259" s="6" t="s">
        <v>499</v>
      </c>
      <c r="F259" s="6">
        <v>24</v>
      </c>
      <c r="G259" s="6">
        <v>0</v>
      </c>
    </row>
    <row r="260" spans="1:7" x14ac:dyDescent="0.2">
      <c r="A260" s="6" t="s">
        <v>487</v>
      </c>
      <c r="B260" s="6" t="s">
        <v>488</v>
      </c>
      <c r="C260" s="6" t="s">
        <v>75</v>
      </c>
      <c r="D260" s="6" t="s">
        <v>489</v>
      </c>
      <c r="E260" s="6" t="s">
        <v>499</v>
      </c>
      <c r="F260" s="6">
        <v>48</v>
      </c>
      <c r="G260" s="6">
        <v>0</v>
      </c>
    </row>
    <row r="261" spans="1:7" x14ac:dyDescent="0.2">
      <c r="A261" s="6" t="s">
        <v>487</v>
      </c>
      <c r="B261" s="6" t="s">
        <v>488</v>
      </c>
      <c r="C261" s="6" t="s">
        <v>75</v>
      </c>
      <c r="D261" s="6" t="s">
        <v>491</v>
      </c>
      <c r="E261" s="6" t="s">
        <v>499</v>
      </c>
      <c r="F261" s="6">
        <v>48</v>
      </c>
      <c r="G261" s="6">
        <v>0</v>
      </c>
    </row>
    <row r="262" spans="1:7" x14ac:dyDescent="0.2">
      <c r="A262" s="6" t="s">
        <v>487</v>
      </c>
      <c r="B262" s="6" t="s">
        <v>488</v>
      </c>
      <c r="C262" s="6" t="s">
        <v>75</v>
      </c>
      <c r="D262" s="6" t="s">
        <v>492</v>
      </c>
      <c r="E262" s="6" t="s">
        <v>499</v>
      </c>
      <c r="F262" s="6">
        <v>48</v>
      </c>
      <c r="G262" s="6">
        <v>0</v>
      </c>
    </row>
    <row r="263" spans="1:7" x14ac:dyDescent="0.2">
      <c r="A263" s="6" t="s">
        <v>487</v>
      </c>
      <c r="B263" s="6" t="s">
        <v>488</v>
      </c>
      <c r="C263" s="6" t="s">
        <v>75</v>
      </c>
      <c r="D263" s="6" t="s">
        <v>489</v>
      </c>
      <c r="E263" s="6" t="s">
        <v>499</v>
      </c>
      <c r="F263" s="6">
        <v>72</v>
      </c>
      <c r="G263" s="6">
        <v>0</v>
      </c>
    </row>
    <row r="264" spans="1:7" x14ac:dyDescent="0.2">
      <c r="A264" s="6" t="s">
        <v>487</v>
      </c>
      <c r="B264" s="6" t="s">
        <v>488</v>
      </c>
      <c r="C264" s="6" t="s">
        <v>75</v>
      </c>
      <c r="D264" s="6" t="s">
        <v>491</v>
      </c>
      <c r="E264" s="6" t="s">
        <v>499</v>
      </c>
      <c r="F264" s="6">
        <v>72</v>
      </c>
      <c r="G264" s="6">
        <v>2.50651E-3</v>
      </c>
    </row>
    <row r="265" spans="1:7" x14ac:dyDescent="0.2">
      <c r="A265" s="6" t="s">
        <v>487</v>
      </c>
      <c r="B265" s="6" t="s">
        <v>488</v>
      </c>
      <c r="C265" s="6" t="s">
        <v>75</v>
      </c>
      <c r="D265" s="6" t="s">
        <v>492</v>
      </c>
      <c r="E265" s="6" t="s">
        <v>499</v>
      </c>
      <c r="F265" s="6">
        <v>72</v>
      </c>
      <c r="G265" s="6">
        <v>0</v>
      </c>
    </row>
    <row r="266" spans="1:7" x14ac:dyDescent="0.2">
      <c r="A266" s="6" t="s">
        <v>487</v>
      </c>
      <c r="B266" s="6" t="s">
        <v>488</v>
      </c>
      <c r="C266" s="6" t="s">
        <v>75</v>
      </c>
      <c r="D266" s="6" t="s">
        <v>489</v>
      </c>
      <c r="E266" s="6" t="s">
        <v>499</v>
      </c>
      <c r="F266" s="6">
        <v>96</v>
      </c>
      <c r="G266" s="6">
        <v>1.230067E-2</v>
      </c>
    </row>
    <row r="267" spans="1:7" x14ac:dyDescent="0.2">
      <c r="A267" s="6" t="s">
        <v>487</v>
      </c>
      <c r="B267" s="6" t="s">
        <v>488</v>
      </c>
      <c r="C267" s="6" t="s">
        <v>75</v>
      </c>
      <c r="D267" s="6" t="s">
        <v>491</v>
      </c>
      <c r="E267" s="6" t="s">
        <v>499</v>
      </c>
      <c r="F267" s="6">
        <v>96</v>
      </c>
      <c r="G267" s="6">
        <v>0</v>
      </c>
    </row>
    <row r="268" spans="1:7" x14ac:dyDescent="0.2">
      <c r="A268" s="6" t="s">
        <v>487</v>
      </c>
      <c r="B268" s="6" t="s">
        <v>488</v>
      </c>
      <c r="C268" s="6" t="s">
        <v>75</v>
      </c>
      <c r="D268" s="6" t="s">
        <v>492</v>
      </c>
      <c r="E268" s="6" t="s">
        <v>499</v>
      </c>
      <c r="F268" s="6">
        <v>96</v>
      </c>
      <c r="G268" s="6">
        <v>3.8803570000000003E-2</v>
      </c>
    </row>
    <row r="269" spans="1:7" x14ac:dyDescent="0.2">
      <c r="A269" s="6" t="s">
        <v>487</v>
      </c>
      <c r="B269" s="6" t="s">
        <v>488</v>
      </c>
      <c r="C269" s="6" t="s">
        <v>75</v>
      </c>
      <c r="D269" s="6" t="s">
        <v>489</v>
      </c>
      <c r="E269" s="6" t="s">
        <v>499</v>
      </c>
      <c r="F269" s="6">
        <v>120</v>
      </c>
      <c r="G269" s="6">
        <v>2.034967E-2</v>
      </c>
    </row>
    <row r="270" spans="1:7" x14ac:dyDescent="0.2">
      <c r="A270" s="6" t="s">
        <v>487</v>
      </c>
      <c r="B270" s="6" t="s">
        <v>488</v>
      </c>
      <c r="C270" s="6" t="s">
        <v>75</v>
      </c>
      <c r="D270" s="6" t="s">
        <v>491</v>
      </c>
      <c r="E270" s="6" t="s">
        <v>499</v>
      </c>
      <c r="F270" s="6">
        <v>120</v>
      </c>
      <c r="G270" s="6">
        <v>1.501452E-2</v>
      </c>
    </row>
    <row r="271" spans="1:7" x14ac:dyDescent="0.2">
      <c r="A271" s="6" t="s">
        <v>487</v>
      </c>
      <c r="B271" s="6" t="s">
        <v>488</v>
      </c>
      <c r="C271" s="6" t="s">
        <v>75</v>
      </c>
      <c r="D271" s="6" t="s">
        <v>492</v>
      </c>
      <c r="E271" s="6" t="s">
        <v>499</v>
      </c>
      <c r="F271" s="6">
        <v>120</v>
      </c>
      <c r="G271" s="6">
        <v>4.3961900000000003E-3</v>
      </c>
    </row>
    <row r="272" spans="1:7" x14ac:dyDescent="0.2">
      <c r="A272" s="6" t="s">
        <v>487</v>
      </c>
      <c r="B272" s="6" t="s">
        <v>488</v>
      </c>
      <c r="C272" s="6" t="s">
        <v>75</v>
      </c>
      <c r="D272" s="6" t="s">
        <v>489</v>
      </c>
      <c r="E272" s="6" t="s">
        <v>499</v>
      </c>
      <c r="F272" s="6">
        <v>168</v>
      </c>
      <c r="G272" s="6">
        <v>4.826486E-2</v>
      </c>
    </row>
    <row r="273" spans="1:7" x14ac:dyDescent="0.2">
      <c r="A273" s="6" t="s">
        <v>487</v>
      </c>
      <c r="B273" s="6" t="s">
        <v>488</v>
      </c>
      <c r="C273" s="6" t="s">
        <v>75</v>
      </c>
      <c r="D273" s="6" t="s">
        <v>491</v>
      </c>
      <c r="E273" s="6" t="s">
        <v>499</v>
      </c>
      <c r="F273" s="6">
        <v>168</v>
      </c>
      <c r="G273" s="6">
        <v>2.4114409999999999E-2</v>
      </c>
    </row>
    <row r="274" spans="1:7" x14ac:dyDescent="0.2">
      <c r="A274" s="6" t="s">
        <v>487</v>
      </c>
      <c r="B274" s="6" t="s">
        <v>488</v>
      </c>
      <c r="C274" s="6" t="s">
        <v>75</v>
      </c>
      <c r="D274" s="6" t="s">
        <v>492</v>
      </c>
      <c r="E274" s="6" t="s">
        <v>499</v>
      </c>
      <c r="F274" s="6">
        <v>168</v>
      </c>
      <c r="G274" s="6">
        <v>3.0348199999999999E-2</v>
      </c>
    </row>
    <row r="275" spans="1:7" x14ac:dyDescent="0.2">
      <c r="A275" s="6" t="s">
        <v>493</v>
      </c>
      <c r="B275" s="6" t="s">
        <v>488</v>
      </c>
      <c r="C275" s="6" t="s">
        <v>75</v>
      </c>
      <c r="D275" s="6" t="s">
        <v>489</v>
      </c>
      <c r="E275" s="6" t="s">
        <v>499</v>
      </c>
      <c r="F275" s="6">
        <v>0</v>
      </c>
      <c r="G275" s="6">
        <v>0</v>
      </c>
    </row>
    <row r="276" spans="1:7" x14ac:dyDescent="0.2">
      <c r="A276" s="6" t="s">
        <v>493</v>
      </c>
      <c r="B276" s="6" t="s">
        <v>488</v>
      </c>
      <c r="C276" s="6" t="s">
        <v>75</v>
      </c>
      <c r="D276" s="6" t="s">
        <v>491</v>
      </c>
      <c r="E276" s="6" t="s">
        <v>499</v>
      </c>
      <c r="F276" s="6">
        <v>0</v>
      </c>
      <c r="G276" s="6">
        <v>0</v>
      </c>
    </row>
    <row r="277" spans="1:7" x14ac:dyDescent="0.2">
      <c r="A277" s="6" t="s">
        <v>493</v>
      </c>
      <c r="B277" s="6" t="s">
        <v>488</v>
      </c>
      <c r="C277" s="6" t="s">
        <v>75</v>
      </c>
      <c r="D277" s="6" t="s">
        <v>492</v>
      </c>
      <c r="E277" s="6" t="s">
        <v>499</v>
      </c>
      <c r="F277" s="6">
        <v>0</v>
      </c>
      <c r="G277" s="6">
        <v>0</v>
      </c>
    </row>
    <row r="278" spans="1:7" x14ac:dyDescent="0.2">
      <c r="A278" s="6" t="s">
        <v>493</v>
      </c>
      <c r="B278" s="6" t="s">
        <v>488</v>
      </c>
      <c r="C278" s="6" t="s">
        <v>75</v>
      </c>
      <c r="D278" s="6" t="s">
        <v>489</v>
      </c>
      <c r="E278" s="6" t="s">
        <v>499</v>
      </c>
      <c r="F278" s="6">
        <v>24</v>
      </c>
      <c r="G278" s="6">
        <v>0</v>
      </c>
    </row>
    <row r="279" spans="1:7" x14ac:dyDescent="0.2">
      <c r="A279" s="6" t="s">
        <v>493</v>
      </c>
      <c r="B279" s="6" t="s">
        <v>488</v>
      </c>
      <c r="C279" s="6" t="s">
        <v>75</v>
      </c>
      <c r="D279" s="6" t="s">
        <v>491</v>
      </c>
      <c r="E279" s="6" t="s">
        <v>499</v>
      </c>
      <c r="F279" s="6">
        <v>24</v>
      </c>
      <c r="G279" s="6">
        <v>0</v>
      </c>
    </row>
    <row r="280" spans="1:7" x14ac:dyDescent="0.2">
      <c r="A280" s="6" t="s">
        <v>493</v>
      </c>
      <c r="B280" s="6" t="s">
        <v>488</v>
      </c>
      <c r="C280" s="6" t="s">
        <v>75</v>
      </c>
      <c r="D280" s="6" t="s">
        <v>492</v>
      </c>
      <c r="E280" s="6" t="s">
        <v>499</v>
      </c>
      <c r="F280" s="6">
        <v>24</v>
      </c>
      <c r="G280" s="6">
        <v>1.932617E-2</v>
      </c>
    </row>
    <row r="281" spans="1:7" x14ac:dyDescent="0.2">
      <c r="A281" s="6" t="s">
        <v>493</v>
      </c>
      <c r="B281" s="6" t="s">
        <v>488</v>
      </c>
      <c r="C281" s="6" t="s">
        <v>75</v>
      </c>
      <c r="D281" s="6" t="s">
        <v>489</v>
      </c>
      <c r="E281" s="6" t="s">
        <v>499</v>
      </c>
      <c r="F281" s="6">
        <v>48</v>
      </c>
      <c r="G281" s="6">
        <v>0</v>
      </c>
    </row>
    <row r="282" spans="1:7" x14ac:dyDescent="0.2">
      <c r="A282" s="6" t="s">
        <v>493</v>
      </c>
      <c r="B282" s="6" t="s">
        <v>488</v>
      </c>
      <c r="C282" s="6" t="s">
        <v>75</v>
      </c>
      <c r="D282" s="6" t="s">
        <v>491</v>
      </c>
      <c r="E282" s="6" t="s">
        <v>499</v>
      </c>
      <c r="F282" s="6">
        <v>48</v>
      </c>
      <c r="G282" s="6">
        <v>6.1176499999999997E-3</v>
      </c>
    </row>
    <row r="283" spans="1:7" x14ac:dyDescent="0.2">
      <c r="A283" s="6" t="s">
        <v>493</v>
      </c>
      <c r="B283" s="6" t="s">
        <v>488</v>
      </c>
      <c r="C283" s="6" t="s">
        <v>75</v>
      </c>
      <c r="D283" s="6" t="s">
        <v>492</v>
      </c>
      <c r="E283" s="6" t="s">
        <v>499</v>
      </c>
      <c r="F283" s="6">
        <v>48</v>
      </c>
      <c r="G283" s="6">
        <v>2.7638289999999999E-2</v>
      </c>
    </row>
    <row r="284" spans="1:7" x14ac:dyDescent="0.2">
      <c r="A284" s="6" t="s">
        <v>493</v>
      </c>
      <c r="B284" s="6" t="s">
        <v>488</v>
      </c>
      <c r="C284" s="6" t="s">
        <v>75</v>
      </c>
      <c r="D284" s="6" t="s">
        <v>489</v>
      </c>
      <c r="E284" s="6" t="s">
        <v>499</v>
      </c>
      <c r="F284" s="6">
        <v>72</v>
      </c>
      <c r="G284" s="6">
        <v>1.8070300000000001E-3</v>
      </c>
    </row>
    <row r="285" spans="1:7" x14ac:dyDescent="0.2">
      <c r="A285" s="6" t="s">
        <v>493</v>
      </c>
      <c r="B285" s="6" t="s">
        <v>488</v>
      </c>
      <c r="C285" s="6" t="s">
        <v>75</v>
      </c>
      <c r="D285" s="6" t="s">
        <v>491</v>
      </c>
      <c r="E285" s="6" t="s">
        <v>499</v>
      </c>
      <c r="F285" s="6">
        <v>72</v>
      </c>
      <c r="G285" s="6">
        <v>1.5788859999999998E-2</v>
      </c>
    </row>
    <row r="286" spans="1:7" x14ac:dyDescent="0.2">
      <c r="A286" s="6" t="s">
        <v>493</v>
      </c>
      <c r="B286" s="6" t="s">
        <v>488</v>
      </c>
      <c r="C286" s="6" t="s">
        <v>75</v>
      </c>
      <c r="D286" s="6" t="s">
        <v>492</v>
      </c>
      <c r="E286" s="6" t="s">
        <v>499</v>
      </c>
      <c r="F286" s="6">
        <v>72</v>
      </c>
      <c r="G286" s="6">
        <v>1.401195E-2</v>
      </c>
    </row>
    <row r="287" spans="1:7" x14ac:dyDescent="0.2">
      <c r="A287" s="6" t="s">
        <v>493</v>
      </c>
      <c r="B287" s="6" t="s">
        <v>488</v>
      </c>
      <c r="C287" s="6" t="s">
        <v>75</v>
      </c>
      <c r="D287" s="6" t="s">
        <v>489</v>
      </c>
      <c r="E287" s="6" t="s">
        <v>499</v>
      </c>
      <c r="F287" s="6">
        <v>96</v>
      </c>
      <c r="G287" s="6">
        <v>8.7277199999999996E-3</v>
      </c>
    </row>
    <row r="288" spans="1:7" x14ac:dyDescent="0.2">
      <c r="A288" s="6" t="s">
        <v>493</v>
      </c>
      <c r="B288" s="6" t="s">
        <v>488</v>
      </c>
      <c r="C288" s="6" t="s">
        <v>75</v>
      </c>
      <c r="D288" s="6" t="s">
        <v>491</v>
      </c>
      <c r="E288" s="6" t="s">
        <v>499</v>
      </c>
      <c r="F288" s="6">
        <v>96</v>
      </c>
      <c r="G288" s="6">
        <v>0</v>
      </c>
    </row>
    <row r="289" spans="1:7" x14ac:dyDescent="0.2">
      <c r="A289" s="6" t="s">
        <v>493</v>
      </c>
      <c r="B289" s="6" t="s">
        <v>488</v>
      </c>
      <c r="C289" s="6" t="s">
        <v>75</v>
      </c>
      <c r="D289" s="6" t="s">
        <v>492</v>
      </c>
      <c r="E289" s="6" t="s">
        <v>499</v>
      </c>
      <c r="F289" s="6">
        <v>96</v>
      </c>
      <c r="G289" s="6">
        <v>3.5189379999999999E-2</v>
      </c>
    </row>
    <row r="290" spans="1:7" x14ac:dyDescent="0.2">
      <c r="A290" s="6" t="s">
        <v>493</v>
      </c>
      <c r="B290" s="6" t="s">
        <v>488</v>
      </c>
      <c r="C290" s="6" t="s">
        <v>75</v>
      </c>
      <c r="D290" s="6" t="s">
        <v>489</v>
      </c>
      <c r="E290" s="6" t="s">
        <v>499</v>
      </c>
      <c r="F290" s="6">
        <v>120</v>
      </c>
      <c r="G290" s="6">
        <v>3.2182600000000001E-3</v>
      </c>
    </row>
    <row r="291" spans="1:7" x14ac:dyDescent="0.2">
      <c r="A291" s="6" t="s">
        <v>493</v>
      </c>
      <c r="B291" s="6" t="s">
        <v>488</v>
      </c>
      <c r="C291" s="6" t="s">
        <v>75</v>
      </c>
      <c r="D291" s="6" t="s">
        <v>491</v>
      </c>
      <c r="E291" s="6" t="s">
        <v>499</v>
      </c>
      <c r="F291" s="6">
        <v>120</v>
      </c>
      <c r="G291" s="6">
        <v>0</v>
      </c>
    </row>
    <row r="292" spans="1:7" x14ac:dyDescent="0.2">
      <c r="A292" s="6" t="s">
        <v>493</v>
      </c>
      <c r="B292" s="6" t="s">
        <v>488</v>
      </c>
      <c r="C292" s="6" t="s">
        <v>75</v>
      </c>
      <c r="D292" s="6" t="s">
        <v>492</v>
      </c>
      <c r="E292" s="6" t="s">
        <v>499</v>
      </c>
      <c r="F292" s="6">
        <v>120</v>
      </c>
      <c r="G292" s="6">
        <v>4.1355200000000002E-3</v>
      </c>
    </row>
    <row r="293" spans="1:7" x14ac:dyDescent="0.2">
      <c r="A293" s="6" t="s">
        <v>493</v>
      </c>
      <c r="B293" s="6" t="s">
        <v>488</v>
      </c>
      <c r="C293" s="6" t="s">
        <v>75</v>
      </c>
      <c r="D293" s="6" t="s">
        <v>489</v>
      </c>
      <c r="E293" s="6" t="s">
        <v>499</v>
      </c>
      <c r="F293" s="6">
        <v>168</v>
      </c>
      <c r="G293" s="6">
        <v>0</v>
      </c>
    </row>
    <row r="294" spans="1:7" x14ac:dyDescent="0.2">
      <c r="A294" s="6" t="s">
        <v>493</v>
      </c>
      <c r="B294" s="6" t="s">
        <v>488</v>
      </c>
      <c r="C294" s="6" t="s">
        <v>75</v>
      </c>
      <c r="D294" s="6" t="s">
        <v>491</v>
      </c>
      <c r="E294" s="6" t="s">
        <v>499</v>
      </c>
      <c r="F294" s="6">
        <v>168</v>
      </c>
      <c r="G294" s="6">
        <v>1.308486E-2</v>
      </c>
    </row>
    <row r="295" spans="1:7" x14ac:dyDescent="0.2">
      <c r="A295" s="6" t="s">
        <v>493</v>
      </c>
      <c r="B295" s="6" t="s">
        <v>488</v>
      </c>
      <c r="C295" s="6" t="s">
        <v>75</v>
      </c>
      <c r="D295" s="6" t="s">
        <v>492</v>
      </c>
      <c r="E295" s="6" t="s">
        <v>499</v>
      </c>
      <c r="F295" s="6">
        <v>168</v>
      </c>
      <c r="G295" s="6">
        <v>1.45429E-3</v>
      </c>
    </row>
    <row r="296" spans="1:7" x14ac:dyDescent="0.2">
      <c r="A296" s="6" t="s">
        <v>487</v>
      </c>
      <c r="B296" s="6" t="s">
        <v>488</v>
      </c>
      <c r="C296" s="6" t="s">
        <v>75</v>
      </c>
      <c r="D296" s="6" t="s">
        <v>489</v>
      </c>
      <c r="E296" s="6" t="s">
        <v>500</v>
      </c>
      <c r="F296" s="6">
        <v>0</v>
      </c>
      <c r="G296" s="6">
        <v>0</v>
      </c>
    </row>
    <row r="297" spans="1:7" x14ac:dyDescent="0.2">
      <c r="A297" s="6" t="s">
        <v>487</v>
      </c>
      <c r="B297" s="6" t="s">
        <v>488</v>
      </c>
      <c r="C297" s="6" t="s">
        <v>75</v>
      </c>
      <c r="D297" s="6" t="s">
        <v>491</v>
      </c>
      <c r="E297" s="6" t="s">
        <v>500</v>
      </c>
      <c r="F297" s="6">
        <v>0</v>
      </c>
      <c r="G297" s="6">
        <v>0.2147992</v>
      </c>
    </row>
    <row r="298" spans="1:7" x14ac:dyDescent="0.2">
      <c r="A298" s="6" t="s">
        <v>487</v>
      </c>
      <c r="B298" s="6" t="s">
        <v>488</v>
      </c>
      <c r="C298" s="6" t="s">
        <v>75</v>
      </c>
      <c r="D298" s="6" t="s">
        <v>492</v>
      </c>
      <c r="E298" s="6" t="s">
        <v>500</v>
      </c>
      <c r="F298" s="6">
        <v>0</v>
      </c>
      <c r="G298" s="6">
        <v>8.8622519999999996E-2</v>
      </c>
    </row>
    <row r="299" spans="1:7" x14ac:dyDescent="0.2">
      <c r="A299" s="6" t="s">
        <v>487</v>
      </c>
      <c r="B299" s="6" t="s">
        <v>488</v>
      </c>
      <c r="C299" s="6" t="s">
        <v>75</v>
      </c>
      <c r="D299" s="6" t="s">
        <v>489</v>
      </c>
      <c r="E299" s="6" t="s">
        <v>500</v>
      </c>
      <c r="F299" s="6">
        <v>24</v>
      </c>
      <c r="G299" s="6">
        <v>6.1876006300000004</v>
      </c>
    </row>
    <row r="300" spans="1:7" x14ac:dyDescent="0.2">
      <c r="A300" s="6" t="s">
        <v>487</v>
      </c>
      <c r="B300" s="6" t="s">
        <v>488</v>
      </c>
      <c r="C300" s="6" t="s">
        <v>75</v>
      </c>
      <c r="D300" s="6" t="s">
        <v>491</v>
      </c>
      <c r="E300" s="6" t="s">
        <v>500</v>
      </c>
      <c r="F300" s="6">
        <v>24</v>
      </c>
      <c r="G300" s="6">
        <v>7.4324517300000004</v>
      </c>
    </row>
    <row r="301" spans="1:7" x14ac:dyDescent="0.2">
      <c r="A301" s="6" t="s">
        <v>487</v>
      </c>
      <c r="B301" s="6" t="s">
        <v>488</v>
      </c>
      <c r="C301" s="6" t="s">
        <v>75</v>
      </c>
      <c r="D301" s="6" t="s">
        <v>492</v>
      </c>
      <c r="E301" s="6" t="s">
        <v>500</v>
      </c>
      <c r="F301" s="6">
        <v>24</v>
      </c>
      <c r="G301" s="6">
        <v>6.8962717099999997</v>
      </c>
    </row>
    <row r="302" spans="1:7" x14ac:dyDescent="0.2">
      <c r="A302" s="6" t="s">
        <v>487</v>
      </c>
      <c r="B302" s="6" t="s">
        <v>488</v>
      </c>
      <c r="C302" s="6" t="s">
        <v>75</v>
      </c>
      <c r="D302" s="6" t="s">
        <v>489</v>
      </c>
      <c r="E302" s="6" t="s">
        <v>500</v>
      </c>
      <c r="F302" s="6">
        <v>48</v>
      </c>
      <c r="G302" s="6">
        <v>16.247465699999999</v>
      </c>
    </row>
    <row r="303" spans="1:7" x14ac:dyDescent="0.2">
      <c r="A303" s="6" t="s">
        <v>487</v>
      </c>
      <c r="B303" s="6" t="s">
        <v>488</v>
      </c>
      <c r="C303" s="6" t="s">
        <v>75</v>
      </c>
      <c r="D303" s="6" t="s">
        <v>491</v>
      </c>
      <c r="E303" s="6" t="s">
        <v>500</v>
      </c>
      <c r="F303" s="6">
        <v>48</v>
      </c>
      <c r="G303" s="6">
        <v>17.509032300000001</v>
      </c>
    </row>
    <row r="304" spans="1:7" x14ac:dyDescent="0.2">
      <c r="A304" s="6" t="s">
        <v>487</v>
      </c>
      <c r="B304" s="6" t="s">
        <v>488</v>
      </c>
      <c r="C304" s="6" t="s">
        <v>75</v>
      </c>
      <c r="D304" s="6" t="s">
        <v>492</v>
      </c>
      <c r="E304" s="6" t="s">
        <v>500</v>
      </c>
      <c r="F304" s="6">
        <v>48</v>
      </c>
      <c r="G304" s="6">
        <v>16.721516300000001</v>
      </c>
    </row>
    <row r="305" spans="1:7" x14ac:dyDescent="0.2">
      <c r="A305" s="6" t="s">
        <v>487</v>
      </c>
      <c r="B305" s="6" t="s">
        <v>488</v>
      </c>
      <c r="C305" s="6" t="s">
        <v>75</v>
      </c>
      <c r="D305" s="6" t="s">
        <v>489</v>
      </c>
      <c r="E305" s="6" t="s">
        <v>500</v>
      </c>
      <c r="F305" s="6">
        <v>72</v>
      </c>
      <c r="G305" s="6">
        <v>22.390234</v>
      </c>
    </row>
    <row r="306" spans="1:7" x14ac:dyDescent="0.2">
      <c r="A306" s="6" t="s">
        <v>487</v>
      </c>
      <c r="B306" s="6" t="s">
        <v>488</v>
      </c>
      <c r="C306" s="6" t="s">
        <v>75</v>
      </c>
      <c r="D306" s="6" t="s">
        <v>491</v>
      </c>
      <c r="E306" s="6" t="s">
        <v>500</v>
      </c>
      <c r="F306" s="6">
        <v>72</v>
      </c>
      <c r="G306" s="6">
        <v>23.354471799999999</v>
      </c>
    </row>
    <row r="307" spans="1:7" x14ac:dyDescent="0.2">
      <c r="A307" s="6" t="s">
        <v>487</v>
      </c>
      <c r="B307" s="6" t="s">
        <v>488</v>
      </c>
      <c r="C307" s="6" t="s">
        <v>75</v>
      </c>
      <c r="D307" s="6" t="s">
        <v>492</v>
      </c>
      <c r="E307" s="6" t="s">
        <v>500</v>
      </c>
      <c r="F307" s="6">
        <v>72</v>
      </c>
      <c r="G307" s="6">
        <v>24.506076</v>
      </c>
    </row>
    <row r="308" spans="1:7" x14ac:dyDescent="0.2">
      <c r="A308" s="6" t="s">
        <v>487</v>
      </c>
      <c r="B308" s="6" t="s">
        <v>488</v>
      </c>
      <c r="C308" s="6" t="s">
        <v>75</v>
      </c>
      <c r="D308" s="6" t="s">
        <v>489</v>
      </c>
      <c r="E308" s="6" t="s">
        <v>500</v>
      </c>
      <c r="F308" s="6">
        <v>96</v>
      </c>
      <c r="G308" s="6">
        <v>27.0243061</v>
      </c>
    </row>
    <row r="309" spans="1:7" x14ac:dyDescent="0.2">
      <c r="A309" s="6" t="s">
        <v>487</v>
      </c>
      <c r="B309" s="6" t="s">
        <v>488</v>
      </c>
      <c r="C309" s="6" t="s">
        <v>75</v>
      </c>
      <c r="D309" s="6" t="s">
        <v>491</v>
      </c>
      <c r="E309" s="6" t="s">
        <v>500</v>
      </c>
      <c r="F309" s="6">
        <v>96</v>
      </c>
      <c r="G309" s="6">
        <v>27.836245399999999</v>
      </c>
    </row>
    <row r="310" spans="1:7" x14ac:dyDescent="0.2">
      <c r="A310" s="6" t="s">
        <v>487</v>
      </c>
      <c r="B310" s="6" t="s">
        <v>488</v>
      </c>
      <c r="C310" s="6" t="s">
        <v>75</v>
      </c>
      <c r="D310" s="6" t="s">
        <v>492</v>
      </c>
      <c r="E310" s="6" t="s">
        <v>500</v>
      </c>
      <c r="F310" s="6">
        <v>96</v>
      </c>
      <c r="G310" s="6">
        <v>27.997328400000001</v>
      </c>
    </row>
    <row r="311" spans="1:7" x14ac:dyDescent="0.2">
      <c r="A311" s="6" t="s">
        <v>487</v>
      </c>
      <c r="B311" s="6" t="s">
        <v>488</v>
      </c>
      <c r="C311" s="6" t="s">
        <v>75</v>
      </c>
      <c r="D311" s="6" t="s">
        <v>489</v>
      </c>
      <c r="E311" s="6" t="s">
        <v>500</v>
      </c>
      <c r="F311" s="6">
        <v>120</v>
      </c>
      <c r="G311" s="6">
        <v>30.470904600000001</v>
      </c>
    </row>
    <row r="312" spans="1:7" x14ac:dyDescent="0.2">
      <c r="A312" s="6" t="s">
        <v>487</v>
      </c>
      <c r="B312" s="6" t="s">
        <v>488</v>
      </c>
      <c r="C312" s="6" t="s">
        <v>75</v>
      </c>
      <c r="D312" s="6" t="s">
        <v>491</v>
      </c>
      <c r="E312" s="6" t="s">
        <v>500</v>
      </c>
      <c r="F312" s="6">
        <v>120</v>
      </c>
      <c r="G312" s="6">
        <v>28.397400600000001</v>
      </c>
    </row>
    <row r="313" spans="1:7" x14ac:dyDescent="0.2">
      <c r="A313" s="6" t="s">
        <v>487</v>
      </c>
      <c r="B313" s="6" t="s">
        <v>488</v>
      </c>
      <c r="C313" s="6" t="s">
        <v>75</v>
      </c>
      <c r="D313" s="6" t="s">
        <v>492</v>
      </c>
      <c r="E313" s="6" t="s">
        <v>500</v>
      </c>
      <c r="F313" s="6">
        <v>120</v>
      </c>
      <c r="G313" s="6">
        <v>27.7652036</v>
      </c>
    </row>
    <row r="314" spans="1:7" x14ac:dyDescent="0.2">
      <c r="A314" s="6" t="s">
        <v>487</v>
      </c>
      <c r="B314" s="6" t="s">
        <v>488</v>
      </c>
      <c r="C314" s="6" t="s">
        <v>75</v>
      </c>
      <c r="D314" s="6" t="s">
        <v>489</v>
      </c>
      <c r="E314" s="6" t="s">
        <v>500</v>
      </c>
      <c r="F314" s="6">
        <v>168</v>
      </c>
      <c r="G314" s="6">
        <v>32.228641799999998</v>
      </c>
    </row>
    <row r="315" spans="1:7" x14ac:dyDescent="0.2">
      <c r="A315" s="6" t="s">
        <v>487</v>
      </c>
      <c r="B315" s="6" t="s">
        <v>488</v>
      </c>
      <c r="C315" s="6" t="s">
        <v>75</v>
      </c>
      <c r="D315" s="6" t="s">
        <v>491</v>
      </c>
      <c r="E315" s="6" t="s">
        <v>500</v>
      </c>
      <c r="F315" s="6">
        <v>168</v>
      </c>
      <c r="G315" s="6">
        <v>29.554923800000001</v>
      </c>
    </row>
    <row r="316" spans="1:7" x14ac:dyDescent="0.2">
      <c r="A316" s="6" t="s">
        <v>487</v>
      </c>
      <c r="B316" s="6" t="s">
        <v>488</v>
      </c>
      <c r="C316" s="6" t="s">
        <v>75</v>
      </c>
      <c r="D316" s="6" t="s">
        <v>492</v>
      </c>
      <c r="E316" s="6" t="s">
        <v>500</v>
      </c>
      <c r="F316" s="6">
        <v>168</v>
      </c>
      <c r="G316" s="6">
        <v>30.832906600000001</v>
      </c>
    </row>
    <row r="317" spans="1:7" x14ac:dyDescent="0.2">
      <c r="A317" s="6" t="s">
        <v>493</v>
      </c>
      <c r="B317" s="6" t="s">
        <v>488</v>
      </c>
      <c r="C317" s="6" t="s">
        <v>75</v>
      </c>
      <c r="D317" s="6" t="s">
        <v>489</v>
      </c>
      <c r="E317" s="6" t="s">
        <v>500</v>
      </c>
      <c r="F317" s="6">
        <v>0</v>
      </c>
      <c r="G317" s="6">
        <v>6.6140149999999995E-2</v>
      </c>
    </row>
    <row r="318" spans="1:7" x14ac:dyDescent="0.2">
      <c r="A318" s="6" t="s">
        <v>493</v>
      </c>
      <c r="B318" s="6" t="s">
        <v>488</v>
      </c>
      <c r="C318" s="6" t="s">
        <v>75</v>
      </c>
      <c r="D318" s="6" t="s">
        <v>491</v>
      </c>
      <c r="E318" s="6" t="s">
        <v>500</v>
      </c>
      <c r="F318" s="6">
        <v>0</v>
      </c>
      <c r="G318" s="6">
        <v>7.9421169999999999E-2</v>
      </c>
    </row>
    <row r="319" spans="1:7" x14ac:dyDescent="0.2">
      <c r="A319" s="6" t="s">
        <v>493</v>
      </c>
      <c r="B319" s="6" t="s">
        <v>488</v>
      </c>
      <c r="C319" s="6" t="s">
        <v>75</v>
      </c>
      <c r="D319" s="6" t="s">
        <v>492</v>
      </c>
      <c r="E319" s="6" t="s">
        <v>500</v>
      </c>
      <c r="F319" s="6">
        <v>0</v>
      </c>
      <c r="G319" s="6">
        <v>5.1340139999999999E-2</v>
      </c>
    </row>
    <row r="320" spans="1:7" x14ac:dyDescent="0.2">
      <c r="A320" s="6" t="s">
        <v>493</v>
      </c>
      <c r="B320" s="6" t="s">
        <v>488</v>
      </c>
      <c r="C320" s="6" t="s">
        <v>75</v>
      </c>
      <c r="D320" s="6" t="s">
        <v>489</v>
      </c>
      <c r="E320" s="6" t="s">
        <v>500</v>
      </c>
      <c r="F320" s="6">
        <v>24</v>
      </c>
      <c r="G320" s="6">
        <v>11.2238451</v>
      </c>
    </row>
    <row r="321" spans="1:7" x14ac:dyDescent="0.2">
      <c r="A321" s="6" t="s">
        <v>493</v>
      </c>
      <c r="B321" s="6" t="s">
        <v>488</v>
      </c>
      <c r="C321" s="6" t="s">
        <v>75</v>
      </c>
      <c r="D321" s="6" t="s">
        <v>491</v>
      </c>
      <c r="E321" s="6" t="s">
        <v>500</v>
      </c>
      <c r="F321" s="6">
        <v>24</v>
      </c>
      <c r="G321" s="6">
        <v>12.334453</v>
      </c>
    </row>
    <row r="322" spans="1:7" x14ac:dyDescent="0.2">
      <c r="A322" s="6" t="s">
        <v>493</v>
      </c>
      <c r="B322" s="6" t="s">
        <v>488</v>
      </c>
      <c r="C322" s="6" t="s">
        <v>75</v>
      </c>
      <c r="D322" s="6" t="s">
        <v>492</v>
      </c>
      <c r="E322" s="6" t="s">
        <v>500</v>
      </c>
      <c r="F322" s="6">
        <v>24</v>
      </c>
      <c r="G322" s="6">
        <v>18.974463100000001</v>
      </c>
    </row>
    <row r="323" spans="1:7" x14ac:dyDescent="0.2">
      <c r="A323" s="6" t="s">
        <v>493</v>
      </c>
      <c r="B323" s="6" t="s">
        <v>488</v>
      </c>
      <c r="C323" s="6" t="s">
        <v>75</v>
      </c>
      <c r="D323" s="6" t="s">
        <v>489</v>
      </c>
      <c r="E323" s="6" t="s">
        <v>500</v>
      </c>
      <c r="F323" s="6">
        <v>48</v>
      </c>
      <c r="G323" s="6">
        <v>27.4711894</v>
      </c>
    </row>
    <row r="324" spans="1:7" x14ac:dyDescent="0.2">
      <c r="A324" s="6" t="s">
        <v>493</v>
      </c>
      <c r="B324" s="6" t="s">
        <v>488</v>
      </c>
      <c r="C324" s="6" t="s">
        <v>75</v>
      </c>
      <c r="D324" s="6" t="s">
        <v>491</v>
      </c>
      <c r="E324" s="6" t="s">
        <v>500</v>
      </c>
      <c r="F324" s="6">
        <v>48</v>
      </c>
      <c r="G324" s="6">
        <v>29.404391700000001</v>
      </c>
    </row>
    <row r="325" spans="1:7" x14ac:dyDescent="0.2">
      <c r="A325" s="6" t="s">
        <v>493</v>
      </c>
      <c r="B325" s="6" t="s">
        <v>488</v>
      </c>
      <c r="C325" s="6" t="s">
        <v>75</v>
      </c>
      <c r="D325" s="6" t="s">
        <v>492</v>
      </c>
      <c r="E325" s="6" t="s">
        <v>500</v>
      </c>
      <c r="F325" s="6">
        <v>48</v>
      </c>
      <c r="G325" s="6">
        <v>31.036067500000001</v>
      </c>
    </row>
    <row r="326" spans="1:7" x14ac:dyDescent="0.2">
      <c r="A326" s="6" t="s">
        <v>493</v>
      </c>
      <c r="B326" s="6" t="s">
        <v>488</v>
      </c>
      <c r="C326" s="6" t="s">
        <v>75</v>
      </c>
      <c r="D326" s="6" t="s">
        <v>489</v>
      </c>
      <c r="E326" s="6" t="s">
        <v>500</v>
      </c>
      <c r="F326" s="6">
        <v>72</v>
      </c>
      <c r="G326" s="6">
        <v>30.967276999999999</v>
      </c>
    </row>
    <row r="327" spans="1:7" x14ac:dyDescent="0.2">
      <c r="A327" s="6" t="s">
        <v>493</v>
      </c>
      <c r="B327" s="6" t="s">
        <v>488</v>
      </c>
      <c r="C327" s="6" t="s">
        <v>75</v>
      </c>
      <c r="D327" s="6" t="s">
        <v>491</v>
      </c>
      <c r="E327" s="6" t="s">
        <v>500</v>
      </c>
      <c r="F327" s="6">
        <v>72</v>
      </c>
      <c r="G327" s="6">
        <v>31.1846608</v>
      </c>
    </row>
    <row r="328" spans="1:7" x14ac:dyDescent="0.2">
      <c r="A328" s="6" t="s">
        <v>493</v>
      </c>
      <c r="B328" s="6" t="s">
        <v>488</v>
      </c>
      <c r="C328" s="6" t="s">
        <v>75</v>
      </c>
      <c r="D328" s="6" t="s">
        <v>492</v>
      </c>
      <c r="E328" s="6" t="s">
        <v>500</v>
      </c>
      <c r="F328" s="6">
        <v>72</v>
      </c>
      <c r="G328" s="6">
        <v>30.073895499999999</v>
      </c>
    </row>
    <row r="329" spans="1:7" x14ac:dyDescent="0.2">
      <c r="A329" s="6" t="s">
        <v>493</v>
      </c>
      <c r="B329" s="6" t="s">
        <v>488</v>
      </c>
      <c r="C329" s="6" t="s">
        <v>75</v>
      </c>
      <c r="D329" s="6" t="s">
        <v>489</v>
      </c>
      <c r="E329" s="6" t="s">
        <v>500</v>
      </c>
      <c r="F329" s="6">
        <v>96</v>
      </c>
      <c r="G329" s="6">
        <v>31.0609283</v>
      </c>
    </row>
    <row r="330" spans="1:7" x14ac:dyDescent="0.2">
      <c r="A330" s="6" t="s">
        <v>493</v>
      </c>
      <c r="B330" s="6" t="s">
        <v>488</v>
      </c>
      <c r="C330" s="6" t="s">
        <v>75</v>
      </c>
      <c r="D330" s="6" t="s">
        <v>491</v>
      </c>
      <c r="E330" s="6" t="s">
        <v>500</v>
      </c>
      <c r="F330" s="6">
        <v>96</v>
      </c>
      <c r="G330" s="6">
        <v>25.272306400000002</v>
      </c>
    </row>
    <row r="331" spans="1:7" x14ac:dyDescent="0.2">
      <c r="A331" s="6" t="s">
        <v>493</v>
      </c>
      <c r="B331" s="6" t="s">
        <v>488</v>
      </c>
      <c r="C331" s="6" t="s">
        <v>75</v>
      </c>
      <c r="D331" s="6" t="s">
        <v>492</v>
      </c>
      <c r="E331" s="6" t="s">
        <v>500</v>
      </c>
      <c r="F331" s="6">
        <v>96</v>
      </c>
      <c r="G331" s="6">
        <v>32.1478708</v>
      </c>
    </row>
    <row r="332" spans="1:7" x14ac:dyDescent="0.2">
      <c r="A332" s="6" t="s">
        <v>493</v>
      </c>
      <c r="B332" s="6" t="s">
        <v>488</v>
      </c>
      <c r="C332" s="6" t="s">
        <v>75</v>
      </c>
      <c r="D332" s="6" t="s">
        <v>489</v>
      </c>
      <c r="E332" s="6" t="s">
        <v>500</v>
      </c>
      <c r="F332" s="6">
        <v>120</v>
      </c>
      <c r="G332" s="6">
        <v>29.086645399999998</v>
      </c>
    </row>
    <row r="333" spans="1:7" x14ac:dyDescent="0.2">
      <c r="A333" s="6" t="s">
        <v>493</v>
      </c>
      <c r="B333" s="6" t="s">
        <v>488</v>
      </c>
      <c r="C333" s="6" t="s">
        <v>75</v>
      </c>
      <c r="D333" s="6" t="s">
        <v>491</v>
      </c>
      <c r="E333" s="6" t="s">
        <v>500</v>
      </c>
      <c r="F333" s="6">
        <v>120</v>
      </c>
      <c r="G333" s="6">
        <v>27.467359099999999</v>
      </c>
    </row>
    <row r="334" spans="1:7" x14ac:dyDescent="0.2">
      <c r="A334" s="6" t="s">
        <v>493</v>
      </c>
      <c r="B334" s="6" t="s">
        <v>488</v>
      </c>
      <c r="C334" s="6" t="s">
        <v>75</v>
      </c>
      <c r="D334" s="6" t="s">
        <v>492</v>
      </c>
      <c r="E334" s="6" t="s">
        <v>500</v>
      </c>
      <c r="F334" s="6">
        <v>120</v>
      </c>
      <c r="G334" s="6">
        <v>27.311890399999999</v>
      </c>
    </row>
    <row r="335" spans="1:7" x14ac:dyDescent="0.2">
      <c r="A335" s="6" t="s">
        <v>493</v>
      </c>
      <c r="B335" s="6" t="s">
        <v>488</v>
      </c>
      <c r="C335" s="6" t="s">
        <v>75</v>
      </c>
      <c r="D335" s="6" t="s">
        <v>489</v>
      </c>
      <c r="E335" s="6" t="s">
        <v>500</v>
      </c>
      <c r="F335" s="6">
        <v>168</v>
      </c>
      <c r="G335" s="6">
        <v>26.558299300000002</v>
      </c>
    </row>
    <row r="336" spans="1:7" x14ac:dyDescent="0.2">
      <c r="A336" s="6" t="s">
        <v>493</v>
      </c>
      <c r="B336" s="6" t="s">
        <v>488</v>
      </c>
      <c r="C336" s="6" t="s">
        <v>75</v>
      </c>
      <c r="D336" s="6" t="s">
        <v>491</v>
      </c>
      <c r="E336" s="6" t="s">
        <v>500</v>
      </c>
      <c r="F336" s="6">
        <v>168</v>
      </c>
      <c r="G336" s="6">
        <v>30.241304199999998</v>
      </c>
    </row>
    <row r="337" spans="1:7" x14ac:dyDescent="0.2">
      <c r="A337" s="6" t="s">
        <v>493</v>
      </c>
      <c r="B337" s="6" t="s">
        <v>488</v>
      </c>
      <c r="C337" s="6" t="s">
        <v>75</v>
      </c>
      <c r="D337" s="6" t="s">
        <v>492</v>
      </c>
      <c r="E337" s="6" t="s">
        <v>500</v>
      </c>
      <c r="F337" s="6">
        <v>168</v>
      </c>
      <c r="G337" s="6">
        <v>29.339912399999999</v>
      </c>
    </row>
    <row r="338" spans="1:7" x14ac:dyDescent="0.2">
      <c r="A338" s="6" t="s">
        <v>487</v>
      </c>
      <c r="B338" s="6" t="s">
        <v>488</v>
      </c>
      <c r="C338" s="6" t="s">
        <v>75</v>
      </c>
      <c r="D338" s="6" t="s">
        <v>489</v>
      </c>
      <c r="E338" s="6" t="s">
        <v>501</v>
      </c>
      <c r="F338" s="6">
        <v>0</v>
      </c>
      <c r="G338" s="6">
        <v>0</v>
      </c>
    </row>
    <row r="339" spans="1:7" x14ac:dyDescent="0.2">
      <c r="A339" s="6" t="s">
        <v>487</v>
      </c>
      <c r="B339" s="6" t="s">
        <v>488</v>
      </c>
      <c r="C339" s="6" t="s">
        <v>75</v>
      </c>
      <c r="D339" s="6" t="s">
        <v>491</v>
      </c>
      <c r="E339" s="6" t="s">
        <v>501</v>
      </c>
      <c r="F339" s="6">
        <v>0</v>
      </c>
      <c r="G339" s="6">
        <v>0</v>
      </c>
    </row>
    <row r="340" spans="1:7" x14ac:dyDescent="0.2">
      <c r="A340" s="6" t="s">
        <v>487</v>
      </c>
      <c r="B340" s="6" t="s">
        <v>488</v>
      </c>
      <c r="C340" s="6" t="s">
        <v>75</v>
      </c>
      <c r="D340" s="6" t="s">
        <v>492</v>
      </c>
      <c r="E340" s="6" t="s">
        <v>501</v>
      </c>
      <c r="F340" s="6">
        <v>0</v>
      </c>
      <c r="G340" s="6">
        <v>0</v>
      </c>
    </row>
    <row r="341" spans="1:7" x14ac:dyDescent="0.2">
      <c r="A341" s="6" t="s">
        <v>487</v>
      </c>
      <c r="B341" s="6" t="s">
        <v>488</v>
      </c>
      <c r="C341" s="6" t="s">
        <v>75</v>
      </c>
      <c r="D341" s="6" t="s">
        <v>489</v>
      </c>
      <c r="E341" s="6" t="s">
        <v>501</v>
      </c>
      <c r="F341" s="6">
        <v>24</v>
      </c>
      <c r="G341" s="6">
        <v>1.9917356399999999</v>
      </c>
    </row>
    <row r="342" spans="1:7" x14ac:dyDescent="0.2">
      <c r="A342" s="6" t="s">
        <v>487</v>
      </c>
      <c r="B342" s="6" t="s">
        <v>488</v>
      </c>
      <c r="C342" s="6" t="s">
        <v>75</v>
      </c>
      <c r="D342" s="6" t="s">
        <v>491</v>
      </c>
      <c r="E342" s="6" t="s">
        <v>501</v>
      </c>
      <c r="F342" s="6">
        <v>24</v>
      </c>
      <c r="G342" s="6">
        <v>2.4930238500000002</v>
      </c>
    </row>
    <row r="343" spans="1:7" x14ac:dyDescent="0.2">
      <c r="A343" s="6" t="s">
        <v>487</v>
      </c>
      <c r="B343" s="6" t="s">
        <v>488</v>
      </c>
      <c r="C343" s="6" t="s">
        <v>75</v>
      </c>
      <c r="D343" s="6" t="s">
        <v>492</v>
      </c>
      <c r="E343" s="6" t="s">
        <v>501</v>
      </c>
      <c r="F343" s="6">
        <v>24</v>
      </c>
      <c r="G343" s="6">
        <v>2.35506985</v>
      </c>
    </row>
    <row r="344" spans="1:7" x14ac:dyDescent="0.2">
      <c r="A344" s="6" t="s">
        <v>487</v>
      </c>
      <c r="B344" s="6" t="s">
        <v>488</v>
      </c>
      <c r="C344" s="6" t="s">
        <v>75</v>
      </c>
      <c r="D344" s="6" t="s">
        <v>489</v>
      </c>
      <c r="E344" s="6" t="s">
        <v>501</v>
      </c>
      <c r="F344" s="6">
        <v>48</v>
      </c>
      <c r="G344" s="6">
        <v>6.8482723999999999</v>
      </c>
    </row>
    <row r="345" spans="1:7" x14ac:dyDescent="0.2">
      <c r="A345" s="6" t="s">
        <v>487</v>
      </c>
      <c r="B345" s="6" t="s">
        <v>488</v>
      </c>
      <c r="C345" s="6" t="s">
        <v>75</v>
      </c>
      <c r="D345" s="6" t="s">
        <v>491</v>
      </c>
      <c r="E345" s="6" t="s">
        <v>501</v>
      </c>
      <c r="F345" s="6">
        <v>48</v>
      </c>
      <c r="G345" s="6">
        <v>7.0676480699999997</v>
      </c>
    </row>
    <row r="346" spans="1:7" x14ac:dyDescent="0.2">
      <c r="A346" s="6" t="s">
        <v>487</v>
      </c>
      <c r="B346" s="6" t="s">
        <v>488</v>
      </c>
      <c r="C346" s="6" t="s">
        <v>75</v>
      </c>
      <c r="D346" s="6" t="s">
        <v>492</v>
      </c>
      <c r="E346" s="6" t="s">
        <v>501</v>
      </c>
      <c r="F346" s="6">
        <v>48</v>
      </c>
      <c r="G346" s="6">
        <v>6.7789997</v>
      </c>
    </row>
    <row r="347" spans="1:7" x14ac:dyDescent="0.2">
      <c r="A347" s="6" t="s">
        <v>487</v>
      </c>
      <c r="B347" s="6" t="s">
        <v>488</v>
      </c>
      <c r="C347" s="6" t="s">
        <v>75</v>
      </c>
      <c r="D347" s="6" t="s">
        <v>489</v>
      </c>
      <c r="E347" s="6" t="s">
        <v>501</v>
      </c>
      <c r="F347" s="6">
        <v>72</v>
      </c>
      <c r="G347" s="6">
        <v>7.5790604500000001</v>
      </c>
    </row>
    <row r="348" spans="1:7" x14ac:dyDescent="0.2">
      <c r="A348" s="6" t="s">
        <v>487</v>
      </c>
      <c r="B348" s="6" t="s">
        <v>488</v>
      </c>
      <c r="C348" s="6" t="s">
        <v>75</v>
      </c>
      <c r="D348" s="6" t="s">
        <v>491</v>
      </c>
      <c r="E348" s="6" t="s">
        <v>501</v>
      </c>
      <c r="F348" s="6">
        <v>72</v>
      </c>
      <c r="G348" s="6">
        <v>7.1752584300000004</v>
      </c>
    </row>
    <row r="349" spans="1:7" x14ac:dyDescent="0.2">
      <c r="A349" s="6" t="s">
        <v>487</v>
      </c>
      <c r="B349" s="6" t="s">
        <v>488</v>
      </c>
      <c r="C349" s="6" t="s">
        <v>75</v>
      </c>
      <c r="D349" s="6" t="s">
        <v>492</v>
      </c>
      <c r="E349" s="6" t="s">
        <v>501</v>
      </c>
      <c r="F349" s="6">
        <v>72</v>
      </c>
      <c r="G349" s="6">
        <v>7.80638962</v>
      </c>
    </row>
    <row r="350" spans="1:7" x14ac:dyDescent="0.2">
      <c r="A350" s="6" t="s">
        <v>487</v>
      </c>
      <c r="B350" s="6" t="s">
        <v>488</v>
      </c>
      <c r="C350" s="6" t="s">
        <v>75</v>
      </c>
      <c r="D350" s="6" t="s">
        <v>489</v>
      </c>
      <c r="E350" s="6" t="s">
        <v>501</v>
      </c>
      <c r="F350" s="6">
        <v>96</v>
      </c>
      <c r="G350" s="6">
        <v>7.5950646300000004</v>
      </c>
    </row>
    <row r="351" spans="1:7" x14ac:dyDescent="0.2">
      <c r="A351" s="6" t="s">
        <v>487</v>
      </c>
      <c r="B351" s="6" t="s">
        <v>488</v>
      </c>
      <c r="C351" s="6" t="s">
        <v>75</v>
      </c>
      <c r="D351" s="6" t="s">
        <v>491</v>
      </c>
      <c r="E351" s="6" t="s">
        <v>501</v>
      </c>
      <c r="F351" s="6">
        <v>96</v>
      </c>
      <c r="G351" s="6">
        <v>7.6846940400000001</v>
      </c>
    </row>
    <row r="352" spans="1:7" x14ac:dyDescent="0.2">
      <c r="A352" s="6" t="s">
        <v>487</v>
      </c>
      <c r="B352" s="6" t="s">
        <v>488</v>
      </c>
      <c r="C352" s="6" t="s">
        <v>75</v>
      </c>
      <c r="D352" s="6" t="s">
        <v>492</v>
      </c>
      <c r="E352" s="6" t="s">
        <v>501</v>
      </c>
      <c r="F352" s="6">
        <v>96</v>
      </c>
      <c r="G352" s="6">
        <v>8.8328520699999995</v>
      </c>
    </row>
    <row r="353" spans="1:7" x14ac:dyDescent="0.2">
      <c r="A353" s="6" t="s">
        <v>487</v>
      </c>
      <c r="B353" s="6" t="s">
        <v>488</v>
      </c>
      <c r="C353" s="6" t="s">
        <v>75</v>
      </c>
      <c r="D353" s="6" t="s">
        <v>489</v>
      </c>
      <c r="E353" s="6" t="s">
        <v>501</v>
      </c>
      <c r="F353" s="6">
        <v>120</v>
      </c>
      <c r="G353" s="6">
        <v>7.4710994499999996</v>
      </c>
    </row>
    <row r="354" spans="1:7" x14ac:dyDescent="0.2">
      <c r="A354" s="6" t="s">
        <v>487</v>
      </c>
      <c r="B354" s="6" t="s">
        <v>488</v>
      </c>
      <c r="C354" s="6" t="s">
        <v>75</v>
      </c>
      <c r="D354" s="6" t="s">
        <v>491</v>
      </c>
      <c r="E354" s="6" t="s">
        <v>501</v>
      </c>
      <c r="F354" s="6">
        <v>120</v>
      </c>
      <c r="G354" s="6">
        <v>7.9800629699999996</v>
      </c>
    </row>
    <row r="355" spans="1:7" x14ac:dyDescent="0.2">
      <c r="A355" s="6" t="s">
        <v>487</v>
      </c>
      <c r="B355" s="6" t="s">
        <v>488</v>
      </c>
      <c r="C355" s="6" t="s">
        <v>75</v>
      </c>
      <c r="D355" s="6" t="s">
        <v>492</v>
      </c>
      <c r="E355" s="6" t="s">
        <v>501</v>
      </c>
      <c r="F355" s="6">
        <v>120</v>
      </c>
      <c r="G355" s="6">
        <v>7.1873489199999998</v>
      </c>
    </row>
    <row r="356" spans="1:7" x14ac:dyDescent="0.2">
      <c r="A356" s="6" t="s">
        <v>487</v>
      </c>
      <c r="B356" s="6" t="s">
        <v>488</v>
      </c>
      <c r="C356" s="6" t="s">
        <v>75</v>
      </c>
      <c r="D356" s="6" t="s">
        <v>489</v>
      </c>
      <c r="E356" s="6" t="s">
        <v>501</v>
      </c>
      <c r="F356" s="6">
        <v>168</v>
      </c>
      <c r="G356" s="6">
        <v>7.7343441899999998</v>
      </c>
    </row>
    <row r="357" spans="1:7" x14ac:dyDescent="0.2">
      <c r="A357" s="6" t="s">
        <v>487</v>
      </c>
      <c r="B357" s="6" t="s">
        <v>488</v>
      </c>
      <c r="C357" s="6" t="s">
        <v>75</v>
      </c>
      <c r="D357" s="6" t="s">
        <v>491</v>
      </c>
      <c r="E357" s="6" t="s">
        <v>501</v>
      </c>
      <c r="F357" s="6">
        <v>168</v>
      </c>
      <c r="G357" s="6">
        <v>7.8097653500000002</v>
      </c>
    </row>
    <row r="358" spans="1:7" x14ac:dyDescent="0.2">
      <c r="A358" s="6" t="s">
        <v>487</v>
      </c>
      <c r="B358" s="6" t="s">
        <v>488</v>
      </c>
      <c r="C358" s="6" t="s">
        <v>75</v>
      </c>
      <c r="D358" s="6" t="s">
        <v>492</v>
      </c>
      <c r="E358" s="6" t="s">
        <v>501</v>
      </c>
      <c r="F358" s="6">
        <v>168</v>
      </c>
      <c r="G358" s="6">
        <v>8.3518215300000005</v>
      </c>
    </row>
    <row r="359" spans="1:7" x14ac:dyDescent="0.2">
      <c r="A359" s="6" t="s">
        <v>493</v>
      </c>
      <c r="B359" s="6" t="s">
        <v>488</v>
      </c>
      <c r="C359" s="6" t="s">
        <v>75</v>
      </c>
      <c r="D359" s="6" t="s">
        <v>489</v>
      </c>
      <c r="E359" s="6" t="s">
        <v>501</v>
      </c>
      <c r="F359" s="6">
        <v>0</v>
      </c>
      <c r="G359" s="6">
        <v>0</v>
      </c>
    </row>
    <row r="360" spans="1:7" x14ac:dyDescent="0.2">
      <c r="A360" s="6" t="s">
        <v>493</v>
      </c>
      <c r="B360" s="6" t="s">
        <v>488</v>
      </c>
      <c r="C360" s="6" t="s">
        <v>75</v>
      </c>
      <c r="D360" s="6" t="s">
        <v>491</v>
      </c>
      <c r="E360" s="6" t="s">
        <v>501</v>
      </c>
      <c r="F360" s="6">
        <v>0</v>
      </c>
      <c r="G360" s="6">
        <v>0</v>
      </c>
    </row>
    <row r="361" spans="1:7" x14ac:dyDescent="0.2">
      <c r="A361" s="6" t="s">
        <v>493</v>
      </c>
      <c r="B361" s="6" t="s">
        <v>488</v>
      </c>
      <c r="C361" s="6" t="s">
        <v>75</v>
      </c>
      <c r="D361" s="6" t="s">
        <v>492</v>
      </c>
      <c r="E361" s="6" t="s">
        <v>501</v>
      </c>
      <c r="F361" s="6">
        <v>0</v>
      </c>
      <c r="G361" s="6">
        <v>0</v>
      </c>
    </row>
    <row r="362" spans="1:7" x14ac:dyDescent="0.2">
      <c r="A362" s="6" t="s">
        <v>493</v>
      </c>
      <c r="B362" s="6" t="s">
        <v>488</v>
      </c>
      <c r="C362" s="6" t="s">
        <v>75</v>
      </c>
      <c r="D362" s="6" t="s">
        <v>489</v>
      </c>
      <c r="E362" s="6" t="s">
        <v>501</v>
      </c>
      <c r="F362" s="6">
        <v>24</v>
      </c>
      <c r="G362" s="6">
        <v>4.6560221500000001</v>
      </c>
    </row>
    <row r="363" spans="1:7" x14ac:dyDescent="0.2">
      <c r="A363" s="6" t="s">
        <v>493</v>
      </c>
      <c r="B363" s="6" t="s">
        <v>488</v>
      </c>
      <c r="C363" s="6" t="s">
        <v>75</v>
      </c>
      <c r="D363" s="6" t="s">
        <v>491</v>
      </c>
      <c r="E363" s="6" t="s">
        <v>501</v>
      </c>
      <c r="F363" s="6">
        <v>24</v>
      </c>
      <c r="G363" s="6">
        <v>5.1022310099999997</v>
      </c>
    </row>
    <row r="364" spans="1:7" x14ac:dyDescent="0.2">
      <c r="A364" s="6" t="s">
        <v>493</v>
      </c>
      <c r="B364" s="6" t="s">
        <v>488</v>
      </c>
      <c r="C364" s="6" t="s">
        <v>75</v>
      </c>
      <c r="D364" s="6" t="s">
        <v>492</v>
      </c>
      <c r="E364" s="6" t="s">
        <v>501</v>
      </c>
      <c r="F364" s="6">
        <v>24</v>
      </c>
      <c r="G364" s="6">
        <v>7.4658971899999997</v>
      </c>
    </row>
    <row r="365" spans="1:7" x14ac:dyDescent="0.2">
      <c r="A365" s="6" t="s">
        <v>493</v>
      </c>
      <c r="B365" s="6" t="s">
        <v>488</v>
      </c>
      <c r="C365" s="6" t="s">
        <v>75</v>
      </c>
      <c r="D365" s="6" t="s">
        <v>489</v>
      </c>
      <c r="E365" s="6" t="s">
        <v>501</v>
      </c>
      <c r="F365" s="6">
        <v>48</v>
      </c>
      <c r="G365" s="6">
        <v>6.8483987199999996</v>
      </c>
    </row>
    <row r="366" spans="1:7" x14ac:dyDescent="0.2">
      <c r="A366" s="6" t="s">
        <v>493</v>
      </c>
      <c r="B366" s="6" t="s">
        <v>488</v>
      </c>
      <c r="C366" s="6" t="s">
        <v>75</v>
      </c>
      <c r="D366" s="6" t="s">
        <v>491</v>
      </c>
      <c r="E366" s="6" t="s">
        <v>501</v>
      </c>
      <c r="F366" s="6">
        <v>48</v>
      </c>
      <c r="G366" s="6">
        <v>7.5662317400000001</v>
      </c>
    </row>
    <row r="367" spans="1:7" x14ac:dyDescent="0.2">
      <c r="A367" s="6" t="s">
        <v>493</v>
      </c>
      <c r="B367" s="6" t="s">
        <v>488</v>
      </c>
      <c r="C367" s="6" t="s">
        <v>75</v>
      </c>
      <c r="D367" s="6" t="s">
        <v>492</v>
      </c>
      <c r="E367" s="6" t="s">
        <v>501</v>
      </c>
      <c r="F367" s="6">
        <v>48</v>
      </c>
      <c r="G367" s="6">
        <v>7.9992187899999996</v>
      </c>
    </row>
    <row r="368" spans="1:7" x14ac:dyDescent="0.2">
      <c r="A368" s="6" t="s">
        <v>493</v>
      </c>
      <c r="B368" s="6" t="s">
        <v>488</v>
      </c>
      <c r="C368" s="6" t="s">
        <v>75</v>
      </c>
      <c r="D368" s="6" t="s">
        <v>489</v>
      </c>
      <c r="E368" s="6" t="s">
        <v>501</v>
      </c>
      <c r="F368" s="6">
        <v>72</v>
      </c>
      <c r="G368" s="6">
        <v>7.9528947199999998</v>
      </c>
    </row>
    <row r="369" spans="1:7" x14ac:dyDescent="0.2">
      <c r="A369" s="6" t="s">
        <v>493</v>
      </c>
      <c r="B369" s="6" t="s">
        <v>488</v>
      </c>
      <c r="C369" s="6" t="s">
        <v>75</v>
      </c>
      <c r="D369" s="6" t="s">
        <v>491</v>
      </c>
      <c r="E369" s="6" t="s">
        <v>501</v>
      </c>
      <c r="F369" s="6">
        <v>72</v>
      </c>
      <c r="G369" s="6">
        <v>8.1137675999999992</v>
      </c>
    </row>
    <row r="370" spans="1:7" x14ac:dyDescent="0.2">
      <c r="A370" s="6" t="s">
        <v>493</v>
      </c>
      <c r="B370" s="6" t="s">
        <v>488</v>
      </c>
      <c r="C370" s="6" t="s">
        <v>75</v>
      </c>
      <c r="D370" s="6" t="s">
        <v>492</v>
      </c>
      <c r="E370" s="6" t="s">
        <v>501</v>
      </c>
      <c r="F370" s="6">
        <v>72</v>
      </c>
      <c r="G370" s="6">
        <v>7.9426410799999996</v>
      </c>
    </row>
    <row r="371" spans="1:7" x14ac:dyDescent="0.2">
      <c r="A371" s="6" t="s">
        <v>493</v>
      </c>
      <c r="B371" s="6" t="s">
        <v>488</v>
      </c>
      <c r="C371" s="6" t="s">
        <v>75</v>
      </c>
      <c r="D371" s="6" t="s">
        <v>489</v>
      </c>
      <c r="E371" s="6" t="s">
        <v>501</v>
      </c>
      <c r="F371" s="6">
        <v>96</v>
      </c>
      <c r="G371" s="6">
        <v>6.92642998</v>
      </c>
    </row>
    <row r="372" spans="1:7" x14ac:dyDescent="0.2">
      <c r="A372" s="6" t="s">
        <v>493</v>
      </c>
      <c r="B372" s="6" t="s">
        <v>488</v>
      </c>
      <c r="C372" s="6" t="s">
        <v>75</v>
      </c>
      <c r="D372" s="6" t="s">
        <v>491</v>
      </c>
      <c r="E372" s="6" t="s">
        <v>501</v>
      </c>
      <c r="F372" s="6">
        <v>96</v>
      </c>
      <c r="G372" s="6">
        <v>6.6726806500000002</v>
      </c>
    </row>
    <row r="373" spans="1:7" x14ac:dyDescent="0.2">
      <c r="A373" s="6" t="s">
        <v>493</v>
      </c>
      <c r="B373" s="6" t="s">
        <v>488</v>
      </c>
      <c r="C373" s="6" t="s">
        <v>75</v>
      </c>
      <c r="D373" s="6" t="s">
        <v>492</v>
      </c>
      <c r="E373" s="6" t="s">
        <v>501</v>
      </c>
      <c r="F373" s="6">
        <v>96</v>
      </c>
      <c r="G373" s="6">
        <v>7.6104692500000004</v>
      </c>
    </row>
    <row r="374" spans="1:7" x14ac:dyDescent="0.2">
      <c r="A374" s="6" t="s">
        <v>493</v>
      </c>
      <c r="B374" s="6" t="s">
        <v>488</v>
      </c>
      <c r="C374" s="6" t="s">
        <v>75</v>
      </c>
      <c r="D374" s="6" t="s">
        <v>489</v>
      </c>
      <c r="E374" s="6" t="s">
        <v>501</v>
      </c>
      <c r="F374" s="6">
        <v>120</v>
      </c>
      <c r="G374" s="6">
        <v>7.32249339</v>
      </c>
    </row>
    <row r="375" spans="1:7" x14ac:dyDescent="0.2">
      <c r="A375" s="6" t="s">
        <v>493</v>
      </c>
      <c r="B375" s="6" t="s">
        <v>488</v>
      </c>
      <c r="C375" s="6" t="s">
        <v>75</v>
      </c>
      <c r="D375" s="6" t="s">
        <v>491</v>
      </c>
      <c r="E375" s="6" t="s">
        <v>501</v>
      </c>
      <c r="F375" s="6">
        <v>120</v>
      </c>
      <c r="G375" s="6">
        <v>7.1684753299999997</v>
      </c>
    </row>
    <row r="376" spans="1:7" x14ac:dyDescent="0.2">
      <c r="A376" s="6" t="s">
        <v>493</v>
      </c>
      <c r="B376" s="6" t="s">
        <v>488</v>
      </c>
      <c r="C376" s="6" t="s">
        <v>75</v>
      </c>
      <c r="D376" s="6" t="s">
        <v>492</v>
      </c>
      <c r="E376" s="6" t="s">
        <v>501</v>
      </c>
      <c r="F376" s="6">
        <v>120</v>
      </c>
      <c r="G376" s="6">
        <v>6.7560326399999999</v>
      </c>
    </row>
    <row r="377" spans="1:7" x14ac:dyDescent="0.2">
      <c r="A377" s="6" t="s">
        <v>493</v>
      </c>
      <c r="B377" s="6" t="s">
        <v>488</v>
      </c>
      <c r="C377" s="6" t="s">
        <v>75</v>
      </c>
      <c r="D377" s="6" t="s">
        <v>489</v>
      </c>
      <c r="E377" s="6" t="s">
        <v>501</v>
      </c>
      <c r="F377" s="6">
        <v>168</v>
      </c>
      <c r="G377" s="6">
        <v>6.1391151900000001</v>
      </c>
    </row>
    <row r="378" spans="1:7" x14ac:dyDescent="0.2">
      <c r="A378" s="6" t="s">
        <v>493</v>
      </c>
      <c r="B378" s="6" t="s">
        <v>488</v>
      </c>
      <c r="C378" s="6" t="s">
        <v>75</v>
      </c>
      <c r="D378" s="6" t="s">
        <v>491</v>
      </c>
      <c r="E378" s="6" t="s">
        <v>501</v>
      </c>
      <c r="F378" s="6">
        <v>168</v>
      </c>
      <c r="G378" s="6">
        <v>7.0656374299999998</v>
      </c>
    </row>
    <row r="379" spans="1:7" x14ac:dyDescent="0.2">
      <c r="A379" s="6" t="s">
        <v>493</v>
      </c>
      <c r="B379" s="6" t="s">
        <v>488</v>
      </c>
      <c r="C379" s="6" t="s">
        <v>75</v>
      </c>
      <c r="D379" s="6" t="s">
        <v>492</v>
      </c>
      <c r="E379" s="6" t="s">
        <v>501</v>
      </c>
      <c r="F379" s="6">
        <v>168</v>
      </c>
      <c r="G379" s="6">
        <v>6.9976355799999999</v>
      </c>
    </row>
    <row r="380" spans="1:7" x14ac:dyDescent="0.2">
      <c r="A380" s="6" t="s">
        <v>487</v>
      </c>
      <c r="B380" s="6" t="s">
        <v>488</v>
      </c>
      <c r="C380" s="6" t="s">
        <v>75</v>
      </c>
      <c r="D380" s="6" t="s">
        <v>489</v>
      </c>
      <c r="E380" s="6" t="s">
        <v>502</v>
      </c>
      <c r="F380" s="6">
        <v>0</v>
      </c>
      <c r="G380" s="6">
        <v>0</v>
      </c>
    </row>
    <row r="381" spans="1:7" x14ac:dyDescent="0.2">
      <c r="A381" s="6" t="s">
        <v>487</v>
      </c>
      <c r="B381" s="6" t="s">
        <v>488</v>
      </c>
      <c r="C381" s="6" t="s">
        <v>75</v>
      </c>
      <c r="D381" s="6" t="s">
        <v>491</v>
      </c>
      <c r="E381" s="6" t="s">
        <v>502</v>
      </c>
      <c r="F381" s="6">
        <v>0</v>
      </c>
      <c r="G381" s="6">
        <v>0</v>
      </c>
    </row>
    <row r="382" spans="1:7" x14ac:dyDescent="0.2">
      <c r="A382" s="6" t="s">
        <v>487</v>
      </c>
      <c r="B382" s="6" t="s">
        <v>488</v>
      </c>
      <c r="C382" s="6" t="s">
        <v>75</v>
      </c>
      <c r="D382" s="6" t="s">
        <v>492</v>
      </c>
      <c r="E382" s="6" t="s">
        <v>502</v>
      </c>
      <c r="F382" s="6">
        <v>0</v>
      </c>
      <c r="G382" s="6">
        <v>0</v>
      </c>
    </row>
    <row r="383" spans="1:7" x14ac:dyDescent="0.2">
      <c r="A383" s="6" t="s">
        <v>487</v>
      </c>
      <c r="B383" s="6" t="s">
        <v>488</v>
      </c>
      <c r="C383" s="6" t="s">
        <v>75</v>
      </c>
      <c r="D383" s="6" t="s">
        <v>489</v>
      </c>
      <c r="E383" s="6" t="s">
        <v>502</v>
      </c>
      <c r="F383" s="6">
        <v>24</v>
      </c>
      <c r="G383" s="6">
        <v>0</v>
      </c>
    </row>
    <row r="384" spans="1:7" x14ac:dyDescent="0.2">
      <c r="A384" s="6" t="s">
        <v>487</v>
      </c>
      <c r="B384" s="6" t="s">
        <v>488</v>
      </c>
      <c r="C384" s="6" t="s">
        <v>75</v>
      </c>
      <c r="D384" s="6" t="s">
        <v>491</v>
      </c>
      <c r="E384" s="6" t="s">
        <v>502</v>
      </c>
      <c r="F384" s="6">
        <v>24</v>
      </c>
      <c r="G384" s="6">
        <v>0</v>
      </c>
    </row>
    <row r="385" spans="1:7" x14ac:dyDescent="0.2">
      <c r="A385" s="6" t="s">
        <v>487</v>
      </c>
      <c r="B385" s="6" t="s">
        <v>488</v>
      </c>
      <c r="C385" s="6" t="s">
        <v>75</v>
      </c>
      <c r="D385" s="6" t="s">
        <v>492</v>
      </c>
      <c r="E385" s="6" t="s">
        <v>502</v>
      </c>
      <c r="F385" s="6">
        <v>24</v>
      </c>
      <c r="G385" s="6">
        <v>0</v>
      </c>
    </row>
    <row r="386" spans="1:7" x14ac:dyDescent="0.2">
      <c r="A386" s="6" t="s">
        <v>487</v>
      </c>
      <c r="B386" s="6" t="s">
        <v>488</v>
      </c>
      <c r="C386" s="6" t="s">
        <v>75</v>
      </c>
      <c r="D386" s="6" t="s">
        <v>489</v>
      </c>
      <c r="E386" s="6" t="s">
        <v>502</v>
      </c>
      <c r="F386" s="6">
        <v>48</v>
      </c>
      <c r="G386" s="6">
        <v>1.4095874500000001</v>
      </c>
    </row>
    <row r="387" spans="1:7" x14ac:dyDescent="0.2">
      <c r="A387" s="6" t="s">
        <v>487</v>
      </c>
      <c r="B387" s="6" t="s">
        <v>488</v>
      </c>
      <c r="C387" s="6" t="s">
        <v>75</v>
      </c>
      <c r="D387" s="6" t="s">
        <v>491</v>
      </c>
      <c r="E387" s="6" t="s">
        <v>502</v>
      </c>
      <c r="F387" s="6">
        <v>48</v>
      </c>
      <c r="G387" s="6">
        <v>1.56115582</v>
      </c>
    </row>
    <row r="388" spans="1:7" x14ac:dyDescent="0.2">
      <c r="A388" s="6" t="s">
        <v>487</v>
      </c>
      <c r="B388" s="6" t="s">
        <v>488</v>
      </c>
      <c r="C388" s="6" t="s">
        <v>75</v>
      </c>
      <c r="D388" s="6" t="s">
        <v>492</v>
      </c>
      <c r="E388" s="6" t="s">
        <v>502</v>
      </c>
      <c r="F388" s="6">
        <v>48</v>
      </c>
      <c r="G388" s="6">
        <v>1.43426181</v>
      </c>
    </row>
    <row r="389" spans="1:7" x14ac:dyDescent="0.2">
      <c r="A389" s="6" t="s">
        <v>487</v>
      </c>
      <c r="B389" s="6" t="s">
        <v>488</v>
      </c>
      <c r="C389" s="6" t="s">
        <v>75</v>
      </c>
      <c r="D389" s="6" t="s">
        <v>489</v>
      </c>
      <c r="E389" s="6" t="s">
        <v>502</v>
      </c>
      <c r="F389" s="6">
        <v>72</v>
      </c>
      <c r="G389" s="6">
        <v>4.3037602399999999</v>
      </c>
    </row>
    <row r="390" spans="1:7" x14ac:dyDescent="0.2">
      <c r="A390" s="6" t="s">
        <v>487</v>
      </c>
      <c r="B390" s="6" t="s">
        <v>488</v>
      </c>
      <c r="C390" s="6" t="s">
        <v>75</v>
      </c>
      <c r="D390" s="6" t="s">
        <v>491</v>
      </c>
      <c r="E390" s="6" t="s">
        <v>502</v>
      </c>
      <c r="F390" s="6">
        <v>72</v>
      </c>
      <c r="G390" s="6">
        <v>4.2679125500000001</v>
      </c>
    </row>
    <row r="391" spans="1:7" x14ac:dyDescent="0.2">
      <c r="A391" s="6" t="s">
        <v>487</v>
      </c>
      <c r="B391" s="6" t="s">
        <v>488</v>
      </c>
      <c r="C391" s="6" t="s">
        <v>75</v>
      </c>
      <c r="D391" s="6" t="s">
        <v>492</v>
      </c>
      <c r="E391" s="6" t="s">
        <v>502</v>
      </c>
      <c r="F391" s="6">
        <v>72</v>
      </c>
      <c r="G391" s="6">
        <v>4.9933820899999999</v>
      </c>
    </row>
    <row r="392" spans="1:7" x14ac:dyDescent="0.2">
      <c r="A392" s="6" t="s">
        <v>487</v>
      </c>
      <c r="B392" s="6" t="s">
        <v>488</v>
      </c>
      <c r="C392" s="6" t="s">
        <v>75</v>
      </c>
      <c r="D392" s="6" t="s">
        <v>489</v>
      </c>
      <c r="E392" s="6" t="s">
        <v>502</v>
      </c>
      <c r="F392" s="6">
        <v>96</v>
      </c>
      <c r="G392" s="6">
        <v>6.5371609700000004</v>
      </c>
    </row>
    <row r="393" spans="1:7" x14ac:dyDescent="0.2">
      <c r="A393" s="6" t="s">
        <v>487</v>
      </c>
      <c r="B393" s="6" t="s">
        <v>488</v>
      </c>
      <c r="C393" s="6" t="s">
        <v>75</v>
      </c>
      <c r="D393" s="6" t="s">
        <v>491</v>
      </c>
      <c r="E393" s="6" t="s">
        <v>502</v>
      </c>
      <c r="F393" s="6">
        <v>96</v>
      </c>
      <c r="G393" s="6">
        <v>6.87869259</v>
      </c>
    </row>
    <row r="394" spans="1:7" x14ac:dyDescent="0.2">
      <c r="A394" s="6" t="s">
        <v>487</v>
      </c>
      <c r="B394" s="6" t="s">
        <v>488</v>
      </c>
      <c r="C394" s="6" t="s">
        <v>75</v>
      </c>
      <c r="D394" s="6" t="s">
        <v>492</v>
      </c>
      <c r="E394" s="6" t="s">
        <v>502</v>
      </c>
      <c r="F394" s="6">
        <v>96</v>
      </c>
      <c r="G394" s="6">
        <v>8.4041170300000001</v>
      </c>
    </row>
    <row r="395" spans="1:7" x14ac:dyDescent="0.2">
      <c r="A395" s="6" t="s">
        <v>487</v>
      </c>
      <c r="B395" s="6" t="s">
        <v>488</v>
      </c>
      <c r="C395" s="6" t="s">
        <v>75</v>
      </c>
      <c r="D395" s="6" t="s">
        <v>489</v>
      </c>
      <c r="E395" s="6" t="s">
        <v>502</v>
      </c>
      <c r="F395" s="6">
        <v>120</v>
      </c>
      <c r="G395" s="6">
        <v>9.0265260200000004</v>
      </c>
    </row>
    <row r="396" spans="1:7" x14ac:dyDescent="0.2">
      <c r="A396" s="6" t="s">
        <v>487</v>
      </c>
      <c r="B396" s="6" t="s">
        <v>488</v>
      </c>
      <c r="C396" s="6" t="s">
        <v>75</v>
      </c>
      <c r="D396" s="6" t="s">
        <v>491</v>
      </c>
      <c r="E396" s="6" t="s">
        <v>502</v>
      </c>
      <c r="F396" s="6">
        <v>120</v>
      </c>
      <c r="G396" s="6">
        <v>9.8787668199999992</v>
      </c>
    </row>
    <row r="397" spans="1:7" x14ac:dyDescent="0.2">
      <c r="A397" s="6" t="s">
        <v>487</v>
      </c>
      <c r="B397" s="6" t="s">
        <v>488</v>
      </c>
      <c r="C397" s="6" t="s">
        <v>75</v>
      </c>
      <c r="D397" s="6" t="s">
        <v>492</v>
      </c>
      <c r="E397" s="6" t="s">
        <v>502</v>
      </c>
      <c r="F397" s="6">
        <v>120</v>
      </c>
      <c r="G397" s="6">
        <v>9.0727350399999995</v>
      </c>
    </row>
    <row r="398" spans="1:7" x14ac:dyDescent="0.2">
      <c r="A398" s="6" t="s">
        <v>487</v>
      </c>
      <c r="B398" s="6" t="s">
        <v>488</v>
      </c>
      <c r="C398" s="6" t="s">
        <v>75</v>
      </c>
      <c r="D398" s="6" t="s">
        <v>489</v>
      </c>
      <c r="E398" s="6" t="s">
        <v>502</v>
      </c>
      <c r="F398" s="6">
        <v>168</v>
      </c>
      <c r="G398" s="6">
        <v>11.7554993</v>
      </c>
    </row>
    <row r="399" spans="1:7" x14ac:dyDescent="0.2">
      <c r="A399" s="6" t="s">
        <v>487</v>
      </c>
      <c r="B399" s="6" t="s">
        <v>488</v>
      </c>
      <c r="C399" s="6" t="s">
        <v>75</v>
      </c>
      <c r="D399" s="6" t="s">
        <v>491</v>
      </c>
      <c r="E399" s="6" t="s">
        <v>502</v>
      </c>
      <c r="F399" s="6">
        <v>168</v>
      </c>
      <c r="G399" s="6">
        <v>11.694607700000001</v>
      </c>
    </row>
    <row r="400" spans="1:7" x14ac:dyDescent="0.2">
      <c r="A400" s="6" t="s">
        <v>487</v>
      </c>
      <c r="B400" s="6" t="s">
        <v>488</v>
      </c>
      <c r="C400" s="6" t="s">
        <v>75</v>
      </c>
      <c r="D400" s="6" t="s">
        <v>492</v>
      </c>
      <c r="E400" s="6" t="s">
        <v>502</v>
      </c>
      <c r="F400" s="6">
        <v>168</v>
      </c>
      <c r="G400" s="6">
        <v>13.2609818</v>
      </c>
    </row>
    <row r="401" spans="1:7" x14ac:dyDescent="0.2">
      <c r="A401" s="6" t="s">
        <v>493</v>
      </c>
      <c r="B401" s="6" t="s">
        <v>488</v>
      </c>
      <c r="C401" s="6" t="s">
        <v>75</v>
      </c>
      <c r="D401" s="6" t="s">
        <v>489</v>
      </c>
      <c r="E401" s="6" t="s">
        <v>502</v>
      </c>
      <c r="F401" s="6">
        <v>0</v>
      </c>
      <c r="G401" s="6">
        <v>0</v>
      </c>
    </row>
    <row r="402" spans="1:7" x14ac:dyDescent="0.2">
      <c r="A402" s="6" t="s">
        <v>493</v>
      </c>
      <c r="B402" s="6" t="s">
        <v>488</v>
      </c>
      <c r="C402" s="6" t="s">
        <v>75</v>
      </c>
      <c r="D402" s="6" t="s">
        <v>491</v>
      </c>
      <c r="E402" s="6" t="s">
        <v>502</v>
      </c>
      <c r="F402" s="6">
        <v>0</v>
      </c>
      <c r="G402" s="6">
        <v>0</v>
      </c>
    </row>
    <row r="403" spans="1:7" x14ac:dyDescent="0.2">
      <c r="A403" s="6" t="s">
        <v>493</v>
      </c>
      <c r="B403" s="6" t="s">
        <v>488</v>
      </c>
      <c r="C403" s="6" t="s">
        <v>75</v>
      </c>
      <c r="D403" s="6" t="s">
        <v>492</v>
      </c>
      <c r="E403" s="6" t="s">
        <v>502</v>
      </c>
      <c r="F403" s="6">
        <v>0</v>
      </c>
      <c r="G403" s="6">
        <v>0</v>
      </c>
    </row>
    <row r="404" spans="1:7" x14ac:dyDescent="0.2">
      <c r="A404" s="6" t="s">
        <v>493</v>
      </c>
      <c r="B404" s="6" t="s">
        <v>488</v>
      </c>
      <c r="C404" s="6" t="s">
        <v>75</v>
      </c>
      <c r="D404" s="6" t="s">
        <v>489</v>
      </c>
      <c r="E404" s="6" t="s">
        <v>502</v>
      </c>
      <c r="F404" s="6">
        <v>24</v>
      </c>
      <c r="G404" s="6">
        <v>0.35208995999999998</v>
      </c>
    </row>
    <row r="405" spans="1:7" x14ac:dyDescent="0.2">
      <c r="A405" s="6" t="s">
        <v>493</v>
      </c>
      <c r="B405" s="6" t="s">
        <v>488</v>
      </c>
      <c r="C405" s="6" t="s">
        <v>75</v>
      </c>
      <c r="D405" s="6" t="s">
        <v>491</v>
      </c>
      <c r="E405" s="6" t="s">
        <v>502</v>
      </c>
      <c r="F405" s="6">
        <v>24</v>
      </c>
      <c r="G405" s="6">
        <v>0.52678594999999995</v>
      </c>
    </row>
    <row r="406" spans="1:7" x14ac:dyDescent="0.2">
      <c r="A406" s="6" t="s">
        <v>493</v>
      </c>
      <c r="B406" s="6" t="s">
        <v>488</v>
      </c>
      <c r="C406" s="6" t="s">
        <v>75</v>
      </c>
      <c r="D406" s="6" t="s">
        <v>492</v>
      </c>
      <c r="E406" s="6" t="s">
        <v>502</v>
      </c>
      <c r="F406" s="6">
        <v>24</v>
      </c>
      <c r="G406" s="6">
        <v>1.1246858399999999</v>
      </c>
    </row>
    <row r="407" spans="1:7" x14ac:dyDescent="0.2">
      <c r="A407" s="6" t="s">
        <v>493</v>
      </c>
      <c r="B407" s="6" t="s">
        <v>488</v>
      </c>
      <c r="C407" s="6" t="s">
        <v>75</v>
      </c>
      <c r="D407" s="6" t="s">
        <v>489</v>
      </c>
      <c r="E407" s="6" t="s">
        <v>502</v>
      </c>
      <c r="F407" s="6">
        <v>48</v>
      </c>
      <c r="G407" s="6">
        <v>8.0497586099999996</v>
      </c>
    </row>
    <row r="408" spans="1:7" x14ac:dyDescent="0.2">
      <c r="A408" s="6" t="s">
        <v>493</v>
      </c>
      <c r="B408" s="6" t="s">
        <v>488</v>
      </c>
      <c r="C408" s="6" t="s">
        <v>75</v>
      </c>
      <c r="D408" s="6" t="s">
        <v>491</v>
      </c>
      <c r="E408" s="6" t="s">
        <v>502</v>
      </c>
      <c r="F408" s="6">
        <v>48</v>
      </c>
      <c r="G408" s="6">
        <v>9.0546975700000001</v>
      </c>
    </row>
    <row r="409" spans="1:7" x14ac:dyDescent="0.2">
      <c r="A409" s="6" t="s">
        <v>493</v>
      </c>
      <c r="B409" s="6" t="s">
        <v>488</v>
      </c>
      <c r="C409" s="6" t="s">
        <v>75</v>
      </c>
      <c r="D409" s="6" t="s">
        <v>492</v>
      </c>
      <c r="E409" s="6" t="s">
        <v>502</v>
      </c>
      <c r="F409" s="6">
        <v>48</v>
      </c>
      <c r="G409" s="6">
        <v>9.3222060500000001</v>
      </c>
    </row>
    <row r="410" spans="1:7" x14ac:dyDescent="0.2">
      <c r="A410" s="6" t="s">
        <v>493</v>
      </c>
      <c r="B410" s="6" t="s">
        <v>488</v>
      </c>
      <c r="C410" s="6" t="s">
        <v>75</v>
      </c>
      <c r="D410" s="6" t="s">
        <v>489</v>
      </c>
      <c r="E410" s="6" t="s">
        <v>502</v>
      </c>
      <c r="F410" s="6">
        <v>72</v>
      </c>
      <c r="G410" s="6">
        <v>11.501697699999999</v>
      </c>
    </row>
    <row r="411" spans="1:7" x14ac:dyDescent="0.2">
      <c r="A411" s="6" t="s">
        <v>493</v>
      </c>
      <c r="B411" s="6" t="s">
        <v>488</v>
      </c>
      <c r="C411" s="6" t="s">
        <v>75</v>
      </c>
      <c r="D411" s="6" t="s">
        <v>491</v>
      </c>
      <c r="E411" s="6" t="s">
        <v>502</v>
      </c>
      <c r="F411" s="6">
        <v>72</v>
      </c>
      <c r="G411" s="6">
        <v>11.142925399999999</v>
      </c>
    </row>
    <row r="412" spans="1:7" x14ac:dyDescent="0.2">
      <c r="A412" s="6" t="s">
        <v>493</v>
      </c>
      <c r="B412" s="6" t="s">
        <v>488</v>
      </c>
      <c r="C412" s="6" t="s">
        <v>75</v>
      </c>
      <c r="D412" s="6" t="s">
        <v>492</v>
      </c>
      <c r="E412" s="6" t="s">
        <v>502</v>
      </c>
      <c r="F412" s="6">
        <v>72</v>
      </c>
      <c r="G412" s="6">
        <v>10.609572099999999</v>
      </c>
    </row>
    <row r="413" spans="1:7" x14ac:dyDescent="0.2">
      <c r="A413" s="6" t="s">
        <v>493</v>
      </c>
      <c r="B413" s="6" t="s">
        <v>488</v>
      </c>
      <c r="C413" s="6" t="s">
        <v>75</v>
      </c>
      <c r="D413" s="6" t="s">
        <v>489</v>
      </c>
      <c r="E413" s="6" t="s">
        <v>502</v>
      </c>
      <c r="F413" s="6">
        <v>96</v>
      </c>
      <c r="G413" s="6">
        <v>10.0335868</v>
      </c>
    </row>
    <row r="414" spans="1:7" x14ac:dyDescent="0.2">
      <c r="A414" s="6" t="s">
        <v>493</v>
      </c>
      <c r="B414" s="6" t="s">
        <v>488</v>
      </c>
      <c r="C414" s="6" t="s">
        <v>75</v>
      </c>
      <c r="D414" s="6" t="s">
        <v>491</v>
      </c>
      <c r="E414" s="6" t="s">
        <v>502</v>
      </c>
      <c r="F414" s="6">
        <v>96</v>
      </c>
      <c r="G414" s="6">
        <v>10.661927800000001</v>
      </c>
    </row>
    <row r="415" spans="1:7" x14ac:dyDescent="0.2">
      <c r="A415" s="6" t="s">
        <v>493</v>
      </c>
      <c r="B415" s="6" t="s">
        <v>488</v>
      </c>
      <c r="C415" s="6" t="s">
        <v>75</v>
      </c>
      <c r="D415" s="6" t="s">
        <v>492</v>
      </c>
      <c r="E415" s="6" t="s">
        <v>502</v>
      </c>
      <c r="F415" s="6">
        <v>96</v>
      </c>
      <c r="G415" s="6">
        <v>9.4728176899999994</v>
      </c>
    </row>
    <row r="416" spans="1:7" x14ac:dyDescent="0.2">
      <c r="A416" s="6" t="s">
        <v>493</v>
      </c>
      <c r="B416" s="6" t="s">
        <v>488</v>
      </c>
      <c r="C416" s="6" t="s">
        <v>75</v>
      </c>
      <c r="D416" s="6" t="s">
        <v>489</v>
      </c>
      <c r="E416" s="6" t="s">
        <v>502</v>
      </c>
      <c r="F416" s="6">
        <v>120</v>
      </c>
      <c r="G416" s="6">
        <v>10.138465200000001</v>
      </c>
    </row>
    <row r="417" spans="1:7" x14ac:dyDescent="0.2">
      <c r="A417" s="6" t="s">
        <v>493</v>
      </c>
      <c r="B417" s="6" t="s">
        <v>488</v>
      </c>
      <c r="C417" s="6" t="s">
        <v>75</v>
      </c>
      <c r="D417" s="6" t="s">
        <v>491</v>
      </c>
      <c r="E417" s="6" t="s">
        <v>502</v>
      </c>
      <c r="F417" s="6">
        <v>120</v>
      </c>
      <c r="G417" s="6">
        <v>10.756937199999999</v>
      </c>
    </row>
    <row r="418" spans="1:7" x14ac:dyDescent="0.2">
      <c r="A418" s="6" t="s">
        <v>493</v>
      </c>
      <c r="B418" s="6" t="s">
        <v>488</v>
      </c>
      <c r="C418" s="6" t="s">
        <v>75</v>
      </c>
      <c r="D418" s="6" t="s">
        <v>492</v>
      </c>
      <c r="E418" s="6" t="s">
        <v>502</v>
      </c>
      <c r="F418" s="6">
        <v>120</v>
      </c>
      <c r="G418" s="6">
        <v>10.6429271</v>
      </c>
    </row>
    <row r="419" spans="1:7" x14ac:dyDescent="0.2">
      <c r="A419" s="6" t="s">
        <v>493</v>
      </c>
      <c r="B419" s="6" t="s">
        <v>488</v>
      </c>
      <c r="C419" s="6" t="s">
        <v>75</v>
      </c>
      <c r="D419" s="6" t="s">
        <v>489</v>
      </c>
      <c r="E419" s="6" t="s">
        <v>502</v>
      </c>
      <c r="F419" s="6">
        <v>168</v>
      </c>
      <c r="G419" s="6">
        <v>10.327957100000001</v>
      </c>
    </row>
    <row r="420" spans="1:7" x14ac:dyDescent="0.2">
      <c r="A420" s="6" t="s">
        <v>493</v>
      </c>
      <c r="B420" s="6" t="s">
        <v>488</v>
      </c>
      <c r="C420" s="6" t="s">
        <v>75</v>
      </c>
      <c r="D420" s="6" t="s">
        <v>491</v>
      </c>
      <c r="E420" s="6" t="s">
        <v>502</v>
      </c>
      <c r="F420" s="6">
        <v>168</v>
      </c>
      <c r="G420" s="6">
        <v>10.813048800000001</v>
      </c>
    </row>
    <row r="421" spans="1:7" x14ac:dyDescent="0.2">
      <c r="A421" s="6" t="s">
        <v>493</v>
      </c>
      <c r="B421" s="6" t="s">
        <v>488</v>
      </c>
      <c r="C421" s="6" t="s">
        <v>75</v>
      </c>
      <c r="D421" s="6" t="s">
        <v>492</v>
      </c>
      <c r="E421" s="6" t="s">
        <v>502</v>
      </c>
      <c r="F421" s="6">
        <v>168</v>
      </c>
      <c r="G421" s="6">
        <v>11.5714682</v>
      </c>
    </row>
    <row r="422" spans="1:7" x14ac:dyDescent="0.2">
      <c r="A422" s="6" t="s">
        <v>487</v>
      </c>
      <c r="B422" s="6" t="s">
        <v>488</v>
      </c>
      <c r="C422" s="6" t="s">
        <v>75</v>
      </c>
      <c r="D422" s="6" t="s">
        <v>489</v>
      </c>
      <c r="E422" s="6" t="s">
        <v>503</v>
      </c>
      <c r="F422" s="6">
        <v>0</v>
      </c>
      <c r="G422" s="6">
        <v>109.943146</v>
      </c>
    </row>
    <row r="423" spans="1:7" x14ac:dyDescent="0.2">
      <c r="A423" s="6" t="s">
        <v>487</v>
      </c>
      <c r="B423" s="6" t="s">
        <v>488</v>
      </c>
      <c r="C423" s="6" t="s">
        <v>75</v>
      </c>
      <c r="D423" s="6" t="s">
        <v>491</v>
      </c>
      <c r="E423" s="6" t="s">
        <v>503</v>
      </c>
      <c r="F423" s="6">
        <v>0</v>
      </c>
      <c r="G423" s="6">
        <v>110.51304500000001</v>
      </c>
    </row>
    <row r="424" spans="1:7" x14ac:dyDescent="0.2">
      <c r="A424" s="6" t="s">
        <v>487</v>
      </c>
      <c r="B424" s="6" t="s">
        <v>488</v>
      </c>
      <c r="C424" s="6" t="s">
        <v>75</v>
      </c>
      <c r="D424" s="6" t="s">
        <v>492</v>
      </c>
      <c r="E424" s="6" t="s">
        <v>503</v>
      </c>
      <c r="F424" s="6">
        <v>0</v>
      </c>
      <c r="G424" s="6">
        <v>110.86960999999999</v>
      </c>
    </row>
    <row r="425" spans="1:7" x14ac:dyDescent="0.2">
      <c r="A425" s="6" t="s">
        <v>493</v>
      </c>
      <c r="B425" s="6" t="s">
        <v>488</v>
      </c>
      <c r="C425" s="6" t="s">
        <v>75</v>
      </c>
      <c r="D425" s="6" t="s">
        <v>489</v>
      </c>
      <c r="E425" s="6" t="s">
        <v>503</v>
      </c>
      <c r="F425" s="6">
        <v>0</v>
      </c>
      <c r="G425" s="6">
        <v>100.691799</v>
      </c>
    </row>
    <row r="426" spans="1:7" x14ac:dyDescent="0.2">
      <c r="A426" s="6" t="s">
        <v>493</v>
      </c>
      <c r="B426" s="6" t="s">
        <v>488</v>
      </c>
      <c r="C426" s="6" t="s">
        <v>75</v>
      </c>
      <c r="D426" s="6" t="s">
        <v>491</v>
      </c>
      <c r="E426" s="6" t="s">
        <v>503</v>
      </c>
      <c r="F426" s="6">
        <v>0</v>
      </c>
      <c r="G426" s="6">
        <v>97.585756200000006</v>
      </c>
    </row>
    <row r="427" spans="1:7" x14ac:dyDescent="0.2">
      <c r="A427" s="6" t="s">
        <v>493</v>
      </c>
      <c r="B427" s="6" t="s">
        <v>488</v>
      </c>
      <c r="C427" s="6" t="s">
        <v>75</v>
      </c>
      <c r="D427" s="6" t="s">
        <v>492</v>
      </c>
      <c r="E427" s="6" t="s">
        <v>503</v>
      </c>
      <c r="F427" s="6">
        <v>0</v>
      </c>
      <c r="G427" s="6">
        <v>98.548481300000006</v>
      </c>
    </row>
    <row r="428" spans="1:7" x14ac:dyDescent="0.2">
      <c r="A428" s="6" t="s">
        <v>487</v>
      </c>
      <c r="B428" s="6" t="s">
        <v>488</v>
      </c>
      <c r="C428" s="6" t="s">
        <v>75</v>
      </c>
      <c r="D428" s="6" t="s">
        <v>489</v>
      </c>
      <c r="E428" s="6" t="s">
        <v>503</v>
      </c>
      <c r="F428" s="6">
        <v>24</v>
      </c>
      <c r="G428" s="6">
        <v>82.1640242</v>
      </c>
    </row>
    <row r="429" spans="1:7" x14ac:dyDescent="0.2">
      <c r="A429" s="6" t="s">
        <v>487</v>
      </c>
      <c r="B429" s="6" t="s">
        <v>488</v>
      </c>
      <c r="C429" s="6" t="s">
        <v>75</v>
      </c>
      <c r="D429" s="6" t="s">
        <v>491</v>
      </c>
      <c r="E429" s="6" t="s">
        <v>503</v>
      </c>
      <c r="F429" s="6">
        <v>24</v>
      </c>
      <c r="G429" s="6">
        <v>74.433214800000002</v>
      </c>
    </row>
    <row r="430" spans="1:7" x14ac:dyDescent="0.2">
      <c r="A430" s="6" t="s">
        <v>487</v>
      </c>
      <c r="B430" s="6" t="s">
        <v>488</v>
      </c>
      <c r="C430" s="6" t="s">
        <v>75</v>
      </c>
      <c r="D430" s="6" t="s">
        <v>492</v>
      </c>
      <c r="E430" s="6" t="s">
        <v>503</v>
      </c>
      <c r="F430" s="6">
        <v>24</v>
      </c>
      <c r="G430" s="6">
        <v>76.505219199999999</v>
      </c>
    </row>
    <row r="431" spans="1:7" x14ac:dyDescent="0.2">
      <c r="A431" s="6" t="s">
        <v>493</v>
      </c>
      <c r="B431" s="6" t="s">
        <v>488</v>
      </c>
      <c r="C431" s="6" t="s">
        <v>75</v>
      </c>
      <c r="D431" s="6" t="s">
        <v>489</v>
      </c>
      <c r="E431" s="6" t="s">
        <v>503</v>
      </c>
      <c r="F431" s="6">
        <v>24</v>
      </c>
      <c r="G431" s="6">
        <v>57.749001499999999</v>
      </c>
    </row>
    <row r="432" spans="1:7" x14ac:dyDescent="0.2">
      <c r="A432" s="6" t="s">
        <v>493</v>
      </c>
      <c r="B432" s="6" t="s">
        <v>488</v>
      </c>
      <c r="C432" s="6" t="s">
        <v>75</v>
      </c>
      <c r="D432" s="6" t="s">
        <v>491</v>
      </c>
      <c r="E432" s="6" t="s">
        <v>503</v>
      </c>
      <c r="F432" s="6">
        <v>24</v>
      </c>
      <c r="G432" s="6">
        <v>52.968010800000002</v>
      </c>
    </row>
    <row r="433" spans="1:7" x14ac:dyDescent="0.2">
      <c r="A433" s="6" t="s">
        <v>493</v>
      </c>
      <c r="B433" s="6" t="s">
        <v>488</v>
      </c>
      <c r="C433" s="6" t="s">
        <v>75</v>
      </c>
      <c r="D433" s="6" t="s">
        <v>492</v>
      </c>
      <c r="E433" s="6" t="s">
        <v>503</v>
      </c>
      <c r="F433" s="6">
        <v>24</v>
      </c>
      <c r="G433" s="6">
        <v>49.775244499999999</v>
      </c>
    </row>
    <row r="434" spans="1:7" x14ac:dyDescent="0.2">
      <c r="A434" s="6" t="s">
        <v>487</v>
      </c>
      <c r="B434" s="6" t="s">
        <v>488</v>
      </c>
      <c r="C434" s="6" t="s">
        <v>75</v>
      </c>
      <c r="D434" s="6" t="s">
        <v>489</v>
      </c>
      <c r="E434" s="6" t="s">
        <v>503</v>
      </c>
      <c r="F434" s="6">
        <v>48</v>
      </c>
      <c r="G434" s="6">
        <v>46.240115500000002</v>
      </c>
    </row>
    <row r="435" spans="1:7" x14ac:dyDescent="0.2">
      <c r="A435" s="6" t="s">
        <v>487</v>
      </c>
      <c r="B435" s="6" t="s">
        <v>488</v>
      </c>
      <c r="C435" s="6" t="s">
        <v>75</v>
      </c>
      <c r="D435" s="6" t="s">
        <v>491</v>
      </c>
      <c r="E435" s="6" t="s">
        <v>503</v>
      </c>
      <c r="F435" s="6">
        <v>48</v>
      </c>
      <c r="G435" s="6">
        <v>41.238537999999998</v>
      </c>
    </row>
    <row r="436" spans="1:7" x14ac:dyDescent="0.2">
      <c r="A436" s="6" t="s">
        <v>487</v>
      </c>
      <c r="B436" s="6" t="s">
        <v>488</v>
      </c>
      <c r="C436" s="6" t="s">
        <v>75</v>
      </c>
      <c r="D436" s="6" t="s">
        <v>492</v>
      </c>
      <c r="E436" s="6" t="s">
        <v>503</v>
      </c>
      <c r="F436" s="6">
        <v>48</v>
      </c>
      <c r="G436" s="6">
        <v>41.554309500000002</v>
      </c>
    </row>
    <row r="437" spans="1:7" x14ac:dyDescent="0.2">
      <c r="A437" s="6" t="s">
        <v>493</v>
      </c>
      <c r="B437" s="6" t="s">
        <v>488</v>
      </c>
      <c r="C437" s="6" t="s">
        <v>75</v>
      </c>
      <c r="D437" s="6" t="s">
        <v>489</v>
      </c>
      <c r="E437" s="6" t="s">
        <v>503</v>
      </c>
      <c r="F437" s="6">
        <v>48</v>
      </c>
      <c r="G437" s="6">
        <v>12.111117999999999</v>
      </c>
    </row>
    <row r="438" spans="1:7" x14ac:dyDescent="0.2">
      <c r="A438" s="6" t="s">
        <v>493</v>
      </c>
      <c r="B438" s="6" t="s">
        <v>488</v>
      </c>
      <c r="C438" s="6" t="s">
        <v>75</v>
      </c>
      <c r="D438" s="6" t="s">
        <v>491</v>
      </c>
      <c r="E438" s="6" t="s">
        <v>503</v>
      </c>
      <c r="F438" s="6">
        <v>48</v>
      </c>
      <c r="G438" s="6">
        <v>11.9237704</v>
      </c>
    </row>
    <row r="439" spans="1:7" x14ac:dyDescent="0.2">
      <c r="A439" s="6" t="s">
        <v>493</v>
      </c>
      <c r="B439" s="6" t="s">
        <v>488</v>
      </c>
      <c r="C439" s="6" t="s">
        <v>75</v>
      </c>
      <c r="D439" s="6" t="s">
        <v>492</v>
      </c>
      <c r="E439" s="6" t="s">
        <v>503</v>
      </c>
      <c r="F439" s="6">
        <v>48</v>
      </c>
      <c r="G439" s="6">
        <v>11.8143835</v>
      </c>
    </row>
    <row r="440" spans="1:7" x14ac:dyDescent="0.2">
      <c r="A440" s="6" t="s">
        <v>487</v>
      </c>
      <c r="B440" s="6" t="s">
        <v>488</v>
      </c>
      <c r="C440" s="6" t="s">
        <v>75</v>
      </c>
      <c r="D440" s="6" t="s">
        <v>489</v>
      </c>
      <c r="E440" s="6" t="s">
        <v>503</v>
      </c>
      <c r="F440" s="6">
        <v>72</v>
      </c>
      <c r="G440" s="6">
        <v>22.979093800000001</v>
      </c>
    </row>
    <row r="441" spans="1:7" x14ac:dyDescent="0.2">
      <c r="A441" s="6" t="s">
        <v>487</v>
      </c>
      <c r="B441" s="6" t="s">
        <v>488</v>
      </c>
      <c r="C441" s="6" t="s">
        <v>75</v>
      </c>
      <c r="D441" s="6" t="s">
        <v>491</v>
      </c>
      <c r="E441" s="6" t="s">
        <v>503</v>
      </c>
      <c r="F441" s="6">
        <v>72</v>
      </c>
      <c r="G441" s="6">
        <v>21.1823695</v>
      </c>
    </row>
    <row r="442" spans="1:7" x14ac:dyDescent="0.2">
      <c r="A442" s="6" t="s">
        <v>487</v>
      </c>
      <c r="B442" s="6" t="s">
        <v>488</v>
      </c>
      <c r="C442" s="6" t="s">
        <v>75</v>
      </c>
      <c r="D442" s="6" t="s">
        <v>492</v>
      </c>
      <c r="E442" s="6" t="s">
        <v>503</v>
      </c>
      <c r="F442" s="6">
        <v>72</v>
      </c>
      <c r="G442" s="6">
        <v>17.9802359</v>
      </c>
    </row>
    <row r="443" spans="1:7" x14ac:dyDescent="0.2">
      <c r="A443" s="6" t="s">
        <v>493</v>
      </c>
      <c r="B443" s="6" t="s">
        <v>488</v>
      </c>
      <c r="C443" s="6" t="s">
        <v>75</v>
      </c>
      <c r="D443" s="6" t="s">
        <v>489</v>
      </c>
      <c r="E443" s="6" t="s">
        <v>503</v>
      </c>
      <c r="F443" s="6">
        <v>72</v>
      </c>
      <c r="G443" s="6">
        <v>9.3755403600000005</v>
      </c>
    </row>
    <row r="444" spans="1:7" x14ac:dyDescent="0.2">
      <c r="A444" s="6" t="s">
        <v>493</v>
      </c>
      <c r="B444" s="6" t="s">
        <v>488</v>
      </c>
      <c r="C444" s="6" t="s">
        <v>75</v>
      </c>
      <c r="D444" s="6" t="s">
        <v>491</v>
      </c>
      <c r="E444" s="6" t="s">
        <v>503</v>
      </c>
      <c r="F444" s="6">
        <v>72</v>
      </c>
      <c r="G444" s="6">
        <v>9.3157099900000002</v>
      </c>
    </row>
    <row r="445" spans="1:7" x14ac:dyDescent="0.2">
      <c r="A445" s="6" t="s">
        <v>493</v>
      </c>
      <c r="B445" s="6" t="s">
        <v>488</v>
      </c>
      <c r="C445" s="6" t="s">
        <v>75</v>
      </c>
      <c r="D445" s="6" t="s">
        <v>492</v>
      </c>
      <c r="E445" s="6" t="s">
        <v>503</v>
      </c>
      <c r="F445" s="6">
        <v>72</v>
      </c>
      <c r="G445" s="6">
        <v>7.9287331500000002</v>
      </c>
    </row>
    <row r="446" spans="1:7" x14ac:dyDescent="0.2">
      <c r="A446" s="6" t="s">
        <v>487</v>
      </c>
      <c r="B446" s="6" t="s">
        <v>488</v>
      </c>
      <c r="C446" s="6" t="s">
        <v>75</v>
      </c>
      <c r="D446" s="6" t="s">
        <v>489</v>
      </c>
      <c r="E446" s="6" t="s">
        <v>503</v>
      </c>
      <c r="F446" s="6">
        <v>96</v>
      </c>
      <c r="G446" s="6">
        <v>16.725611099999998</v>
      </c>
    </row>
    <row r="447" spans="1:7" x14ac:dyDescent="0.2">
      <c r="A447" s="6" t="s">
        <v>487</v>
      </c>
      <c r="B447" s="6" t="s">
        <v>488</v>
      </c>
      <c r="C447" s="6" t="s">
        <v>75</v>
      </c>
      <c r="D447" s="6" t="s">
        <v>491</v>
      </c>
      <c r="E447" s="6" t="s">
        <v>503</v>
      </c>
      <c r="F447" s="6">
        <v>96</v>
      </c>
      <c r="G447" s="6">
        <v>11.2716797</v>
      </c>
    </row>
    <row r="448" spans="1:7" x14ac:dyDescent="0.2">
      <c r="A448" s="6" t="s">
        <v>487</v>
      </c>
      <c r="B448" s="6" t="s">
        <v>488</v>
      </c>
      <c r="C448" s="6" t="s">
        <v>75</v>
      </c>
      <c r="D448" s="6" t="s">
        <v>492</v>
      </c>
      <c r="E448" s="6" t="s">
        <v>503</v>
      </c>
      <c r="F448" s="6">
        <v>96</v>
      </c>
      <c r="G448" s="6">
        <v>9.9384897799999994</v>
      </c>
    </row>
    <row r="449" spans="1:7" x14ac:dyDescent="0.2">
      <c r="A449" s="6" t="s">
        <v>493</v>
      </c>
      <c r="B449" s="6" t="s">
        <v>488</v>
      </c>
      <c r="C449" s="6" t="s">
        <v>75</v>
      </c>
      <c r="D449" s="6" t="s">
        <v>489</v>
      </c>
      <c r="E449" s="6" t="s">
        <v>503</v>
      </c>
      <c r="F449" s="6">
        <v>96</v>
      </c>
      <c r="G449" s="6">
        <v>7.7891289500000003</v>
      </c>
    </row>
    <row r="450" spans="1:7" x14ac:dyDescent="0.2">
      <c r="A450" s="6" t="s">
        <v>493</v>
      </c>
      <c r="B450" s="6" t="s">
        <v>488</v>
      </c>
      <c r="C450" s="6" t="s">
        <v>75</v>
      </c>
      <c r="D450" s="6" t="s">
        <v>491</v>
      </c>
      <c r="E450" s="6" t="s">
        <v>503</v>
      </c>
      <c r="F450" s="6">
        <v>96</v>
      </c>
      <c r="G450" s="6">
        <v>7.8767592899999999</v>
      </c>
    </row>
    <row r="451" spans="1:7" x14ac:dyDescent="0.2">
      <c r="A451" s="6" t="s">
        <v>493</v>
      </c>
      <c r="B451" s="6" t="s">
        <v>488</v>
      </c>
      <c r="C451" s="6" t="s">
        <v>75</v>
      </c>
      <c r="D451" s="6" t="s">
        <v>492</v>
      </c>
      <c r="E451" s="6" t="s">
        <v>503</v>
      </c>
      <c r="F451" s="6">
        <v>96</v>
      </c>
      <c r="G451" s="6">
        <v>7.6685616799999998</v>
      </c>
    </row>
    <row r="452" spans="1:7" x14ac:dyDescent="0.2">
      <c r="A452" s="6" t="s">
        <v>487</v>
      </c>
      <c r="B452" s="6" t="s">
        <v>488</v>
      </c>
      <c r="C452" s="6" t="s">
        <v>75</v>
      </c>
      <c r="D452" s="6" t="s">
        <v>489</v>
      </c>
      <c r="E452" s="6" t="s">
        <v>503</v>
      </c>
      <c r="F452" s="6">
        <v>120</v>
      </c>
      <c r="G452" s="6">
        <v>11.0674104</v>
      </c>
    </row>
    <row r="453" spans="1:7" x14ac:dyDescent="0.2">
      <c r="A453" s="6" t="s">
        <v>487</v>
      </c>
      <c r="B453" s="6" t="s">
        <v>488</v>
      </c>
      <c r="C453" s="6" t="s">
        <v>75</v>
      </c>
      <c r="D453" s="6" t="s">
        <v>491</v>
      </c>
      <c r="E453" s="6" t="s">
        <v>503</v>
      </c>
      <c r="F453" s="6">
        <v>120</v>
      </c>
      <c r="G453" s="6">
        <v>9.2655491699999999</v>
      </c>
    </row>
    <row r="454" spans="1:7" x14ac:dyDescent="0.2">
      <c r="A454" s="6" t="s">
        <v>487</v>
      </c>
      <c r="B454" s="6" t="s">
        <v>488</v>
      </c>
      <c r="C454" s="6" t="s">
        <v>75</v>
      </c>
      <c r="D454" s="6" t="s">
        <v>492</v>
      </c>
      <c r="E454" s="6" t="s">
        <v>503</v>
      </c>
      <c r="F454" s="6">
        <v>120</v>
      </c>
      <c r="G454" s="6">
        <v>9.4420185500000002</v>
      </c>
    </row>
    <row r="455" spans="1:7" x14ac:dyDescent="0.2">
      <c r="A455" s="6" t="s">
        <v>493</v>
      </c>
      <c r="B455" s="6" t="s">
        <v>488</v>
      </c>
      <c r="C455" s="6" t="s">
        <v>75</v>
      </c>
      <c r="D455" s="6" t="s">
        <v>489</v>
      </c>
      <c r="E455" s="6" t="s">
        <v>503</v>
      </c>
      <c r="F455" s="6">
        <v>120</v>
      </c>
      <c r="G455" s="6">
        <v>7.6440856200000002</v>
      </c>
    </row>
    <row r="456" spans="1:7" x14ac:dyDescent="0.2">
      <c r="A456" s="6" t="s">
        <v>493</v>
      </c>
      <c r="B456" s="6" t="s">
        <v>488</v>
      </c>
      <c r="C456" s="6" t="s">
        <v>75</v>
      </c>
      <c r="D456" s="6" t="s">
        <v>491</v>
      </c>
      <c r="E456" s="6" t="s">
        <v>503</v>
      </c>
      <c r="F456" s="6">
        <v>120</v>
      </c>
      <c r="G456" s="6">
        <v>7.6664464700000003</v>
      </c>
    </row>
    <row r="457" spans="1:7" x14ac:dyDescent="0.2">
      <c r="A457" s="6" t="s">
        <v>493</v>
      </c>
      <c r="B457" s="6" t="s">
        <v>488</v>
      </c>
      <c r="C457" s="6" t="s">
        <v>75</v>
      </c>
      <c r="D457" s="6" t="s">
        <v>492</v>
      </c>
      <c r="E457" s="6" t="s">
        <v>503</v>
      </c>
      <c r="F457" s="6">
        <v>120</v>
      </c>
      <c r="G457" s="6">
        <v>8.2481306500000002</v>
      </c>
    </row>
    <row r="458" spans="1:7" x14ac:dyDescent="0.2">
      <c r="A458" s="6" t="s">
        <v>487</v>
      </c>
      <c r="B458" s="6" t="s">
        <v>488</v>
      </c>
      <c r="C458" s="6" t="s">
        <v>75</v>
      </c>
      <c r="D458" s="6" t="s">
        <v>489</v>
      </c>
      <c r="E458" s="6" t="s">
        <v>503</v>
      </c>
      <c r="F458" s="6">
        <v>168</v>
      </c>
      <c r="G458" s="6">
        <v>9.4051533700000007</v>
      </c>
    </row>
    <row r="459" spans="1:7" x14ac:dyDescent="0.2">
      <c r="A459" s="6" t="s">
        <v>487</v>
      </c>
      <c r="B459" s="6" t="s">
        <v>488</v>
      </c>
      <c r="C459" s="6" t="s">
        <v>75</v>
      </c>
      <c r="D459" s="6" t="s">
        <v>491</v>
      </c>
      <c r="E459" s="6" t="s">
        <v>503</v>
      </c>
      <c r="F459" s="6">
        <v>168</v>
      </c>
      <c r="G459" s="6">
        <v>9.6493096499999993</v>
      </c>
    </row>
    <row r="460" spans="1:7" x14ac:dyDescent="0.2">
      <c r="A460" s="6" t="s">
        <v>487</v>
      </c>
      <c r="B460" s="6" t="s">
        <v>488</v>
      </c>
      <c r="C460" s="6" t="s">
        <v>75</v>
      </c>
      <c r="D460" s="6" t="s">
        <v>492</v>
      </c>
      <c r="E460" s="6" t="s">
        <v>503</v>
      </c>
      <c r="F460" s="6">
        <v>168</v>
      </c>
      <c r="G460" s="6">
        <v>8.3466392500000008</v>
      </c>
    </row>
    <row r="461" spans="1:7" x14ac:dyDescent="0.2">
      <c r="A461" s="6" t="s">
        <v>493</v>
      </c>
      <c r="B461" s="6" t="s">
        <v>488</v>
      </c>
      <c r="C461" s="6" t="s">
        <v>75</v>
      </c>
      <c r="D461" s="6" t="s">
        <v>489</v>
      </c>
      <c r="E461" s="6" t="s">
        <v>503</v>
      </c>
      <c r="F461" s="6">
        <v>168</v>
      </c>
      <c r="G461" s="6">
        <v>7.6613095199999997</v>
      </c>
    </row>
    <row r="462" spans="1:7" x14ac:dyDescent="0.2">
      <c r="A462" s="6" t="s">
        <v>493</v>
      </c>
      <c r="B462" s="6" t="s">
        <v>488</v>
      </c>
      <c r="C462" s="6" t="s">
        <v>75</v>
      </c>
      <c r="D462" s="6" t="s">
        <v>491</v>
      </c>
      <c r="E462" s="6" t="s">
        <v>503</v>
      </c>
      <c r="F462" s="6">
        <v>168</v>
      </c>
      <c r="G462" s="6">
        <v>7.4095988999999998</v>
      </c>
    </row>
    <row r="463" spans="1:7" x14ac:dyDescent="0.2">
      <c r="A463" s="6" t="s">
        <v>493</v>
      </c>
      <c r="B463" s="6" t="s">
        <v>488</v>
      </c>
      <c r="C463" s="6" t="s">
        <v>75</v>
      </c>
      <c r="D463" s="6" t="s">
        <v>492</v>
      </c>
      <c r="E463" s="6" t="s">
        <v>503</v>
      </c>
      <c r="F463" s="6">
        <v>168</v>
      </c>
      <c r="G463" s="6">
        <v>7.9846352700000001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7CF7-9C62-DE4B-8010-4345AD881FB3}">
  <dimension ref="A1:AA55"/>
  <sheetViews>
    <sheetView tabSelected="1" workbookViewId="0">
      <selection activeCell="J10" sqref="J10"/>
    </sheetView>
  </sheetViews>
  <sheetFormatPr baseColWidth="10" defaultRowHeight="16" x14ac:dyDescent="0.2"/>
  <sheetData>
    <row r="1" spans="1:27" x14ac:dyDescent="0.2">
      <c r="A1" t="s">
        <v>504</v>
      </c>
      <c r="B1" t="s">
        <v>483</v>
      </c>
      <c r="C1" t="s">
        <v>505</v>
      </c>
      <c r="D1" t="s">
        <v>506</v>
      </c>
      <c r="E1" t="s">
        <v>507</v>
      </c>
      <c r="F1" t="s">
        <v>503</v>
      </c>
      <c r="G1" t="s">
        <v>508</v>
      </c>
      <c r="H1" t="s">
        <v>494</v>
      </c>
      <c r="I1" t="s">
        <v>509</v>
      </c>
      <c r="J1" t="s">
        <v>510</v>
      </c>
      <c r="K1" t="s">
        <v>511</v>
      </c>
      <c r="L1" t="s">
        <v>512</v>
      </c>
      <c r="M1" t="s">
        <v>513</v>
      </c>
      <c r="N1" t="s">
        <v>514</v>
      </c>
      <c r="O1" t="s">
        <v>515</v>
      </c>
      <c r="P1" t="s">
        <v>516</v>
      </c>
      <c r="Q1" t="s">
        <v>517</v>
      </c>
      <c r="R1" t="s">
        <v>518</v>
      </c>
      <c r="S1" t="s">
        <v>519</v>
      </c>
      <c r="T1" t="s">
        <v>520</v>
      </c>
      <c r="U1" t="s">
        <v>521</v>
      </c>
      <c r="V1" t="s">
        <v>522</v>
      </c>
    </row>
    <row r="2" spans="1:27" x14ac:dyDescent="0.2">
      <c r="A2" t="s">
        <v>75</v>
      </c>
      <c r="B2" s="7" t="s">
        <v>489</v>
      </c>
      <c r="C2" s="7">
        <v>0</v>
      </c>
      <c r="D2" s="7">
        <v>1.72</v>
      </c>
      <c r="E2">
        <v>5.07</v>
      </c>
      <c r="F2" s="7">
        <v>58.475000000000001</v>
      </c>
      <c r="G2" s="8">
        <v>5.0859655760000004</v>
      </c>
      <c r="H2" s="8">
        <v>0</v>
      </c>
      <c r="I2" s="8">
        <v>6.4428539999999996E-3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V2" t="s">
        <v>523</v>
      </c>
    </row>
    <row r="3" spans="1:27" x14ac:dyDescent="0.2">
      <c r="A3" t="s">
        <v>75</v>
      </c>
      <c r="B3" s="7" t="s">
        <v>491</v>
      </c>
      <c r="C3" s="7">
        <v>0</v>
      </c>
      <c r="D3" s="7">
        <v>1.78</v>
      </c>
      <c r="E3">
        <v>5.07</v>
      </c>
      <c r="F3" s="7">
        <v>58.475000000000001</v>
      </c>
      <c r="G3" s="8">
        <v>5.0859655760000004</v>
      </c>
      <c r="H3" s="8">
        <v>0</v>
      </c>
      <c r="I3" s="8">
        <v>6.4428539999999996E-3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V3" t="s">
        <v>523</v>
      </c>
    </row>
    <row r="4" spans="1:27" x14ac:dyDescent="0.2">
      <c r="A4" t="s">
        <v>75</v>
      </c>
      <c r="B4" s="7" t="s">
        <v>492</v>
      </c>
      <c r="C4" s="7">
        <v>0</v>
      </c>
      <c r="D4" s="7">
        <v>1.34</v>
      </c>
      <c r="E4">
        <v>5.07</v>
      </c>
      <c r="F4" s="7">
        <v>58.475000000000001</v>
      </c>
      <c r="G4" s="8">
        <v>5.0859655760000004</v>
      </c>
      <c r="H4" s="8">
        <v>0</v>
      </c>
      <c r="I4" s="8">
        <v>6.4428539999999996E-3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9"/>
      <c r="R4" s="9"/>
      <c r="S4" s="9"/>
      <c r="T4" s="9"/>
      <c r="U4" s="9"/>
      <c r="V4" t="s">
        <v>523</v>
      </c>
      <c r="W4" s="9"/>
      <c r="X4" s="9"/>
      <c r="Y4" s="9"/>
      <c r="Z4" s="9"/>
      <c r="AA4" s="9"/>
    </row>
    <row r="5" spans="1:27" x14ac:dyDescent="0.2">
      <c r="A5" t="s">
        <v>75</v>
      </c>
      <c r="B5" s="7" t="s">
        <v>489</v>
      </c>
      <c r="C5" s="7">
        <v>24</v>
      </c>
      <c r="D5" s="7">
        <v>2.54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2">
      <c r="A6" t="s">
        <v>75</v>
      </c>
      <c r="B6" s="7" t="s">
        <v>491</v>
      </c>
      <c r="C6" s="7">
        <v>24</v>
      </c>
      <c r="D6" s="7">
        <v>2.66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x14ac:dyDescent="0.2">
      <c r="A7" t="s">
        <v>75</v>
      </c>
      <c r="B7" s="7" t="s">
        <v>492</v>
      </c>
      <c r="C7" s="7">
        <v>24</v>
      </c>
      <c r="D7" s="7">
        <v>2.2799999999999998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x14ac:dyDescent="0.2">
      <c r="A8" t="s">
        <v>75</v>
      </c>
      <c r="B8" s="7" t="s">
        <v>489</v>
      </c>
      <c r="C8" s="7">
        <v>48</v>
      </c>
      <c r="D8" s="7">
        <v>3.36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x14ac:dyDescent="0.2">
      <c r="A9" t="s">
        <v>75</v>
      </c>
      <c r="B9" s="7" t="s">
        <v>491</v>
      </c>
      <c r="C9" s="7">
        <v>48</v>
      </c>
      <c r="D9" s="7">
        <v>3.54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x14ac:dyDescent="0.2">
      <c r="A10" t="s">
        <v>75</v>
      </c>
      <c r="B10" s="7" t="s">
        <v>492</v>
      </c>
      <c r="C10" s="7">
        <v>48</v>
      </c>
      <c r="D10" s="7">
        <v>3.16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x14ac:dyDescent="0.2">
      <c r="A11" t="s">
        <v>75</v>
      </c>
      <c r="B11" s="7" t="s">
        <v>489</v>
      </c>
      <c r="C11" s="7">
        <v>72</v>
      </c>
      <c r="D11" s="7">
        <v>3.88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x14ac:dyDescent="0.2">
      <c r="A12" t="s">
        <v>75</v>
      </c>
      <c r="B12" s="7" t="s">
        <v>491</v>
      </c>
      <c r="C12" s="7">
        <v>72</v>
      </c>
      <c r="D12" s="7">
        <v>3.9</v>
      </c>
    </row>
    <row r="13" spans="1:27" x14ac:dyDescent="0.2">
      <c r="A13" t="s">
        <v>75</v>
      </c>
      <c r="B13" s="7" t="s">
        <v>492</v>
      </c>
      <c r="C13" s="7">
        <v>72</v>
      </c>
      <c r="D13" s="7">
        <v>3.54</v>
      </c>
    </row>
    <row r="14" spans="1:27" x14ac:dyDescent="0.2">
      <c r="A14" t="s">
        <v>75</v>
      </c>
      <c r="B14" s="7" t="s">
        <v>489</v>
      </c>
      <c r="C14" s="7">
        <v>96</v>
      </c>
      <c r="D14" s="10">
        <v>3.98</v>
      </c>
    </row>
    <row r="15" spans="1:27" x14ac:dyDescent="0.2">
      <c r="A15" t="s">
        <v>75</v>
      </c>
      <c r="B15" s="7" t="s">
        <v>491</v>
      </c>
      <c r="C15" s="7">
        <v>96</v>
      </c>
      <c r="D15" s="10">
        <v>4.2</v>
      </c>
    </row>
    <row r="16" spans="1:27" x14ac:dyDescent="0.2">
      <c r="A16" t="s">
        <v>75</v>
      </c>
      <c r="B16" s="7" t="s">
        <v>492</v>
      </c>
      <c r="C16" s="7">
        <v>96</v>
      </c>
      <c r="D16" s="10">
        <v>3.84</v>
      </c>
    </row>
    <row r="17" spans="1:22" x14ac:dyDescent="0.2">
      <c r="A17" t="s">
        <v>75</v>
      </c>
      <c r="B17" s="7" t="s">
        <v>489</v>
      </c>
      <c r="C17" s="7">
        <v>120</v>
      </c>
      <c r="D17" s="7">
        <v>4.78</v>
      </c>
    </row>
    <row r="18" spans="1:22" x14ac:dyDescent="0.2">
      <c r="A18" t="s">
        <v>75</v>
      </c>
      <c r="B18" s="7" t="s">
        <v>491</v>
      </c>
      <c r="C18" s="7">
        <v>120</v>
      </c>
      <c r="D18" s="7">
        <v>4.9000000000000004</v>
      </c>
    </row>
    <row r="19" spans="1:22" x14ac:dyDescent="0.2">
      <c r="A19" t="s">
        <v>75</v>
      </c>
      <c r="B19" s="7" t="s">
        <v>492</v>
      </c>
      <c r="C19" s="7">
        <v>120</v>
      </c>
      <c r="D19" s="7">
        <v>4.5</v>
      </c>
    </row>
    <row r="20" spans="1:22" x14ac:dyDescent="0.2">
      <c r="A20" t="s">
        <v>75</v>
      </c>
      <c r="B20" s="7" t="s">
        <v>489</v>
      </c>
      <c r="C20" s="7">
        <v>144</v>
      </c>
      <c r="D20" s="7">
        <v>5.44</v>
      </c>
    </row>
    <row r="21" spans="1:22" x14ac:dyDescent="0.2">
      <c r="A21" t="s">
        <v>75</v>
      </c>
      <c r="B21" s="7" t="s">
        <v>491</v>
      </c>
      <c r="C21" s="7">
        <v>144</v>
      </c>
      <c r="D21" s="7">
        <v>5.88</v>
      </c>
    </row>
    <row r="22" spans="1:22" x14ac:dyDescent="0.2">
      <c r="A22" t="s">
        <v>75</v>
      </c>
      <c r="B22" s="7" t="s">
        <v>492</v>
      </c>
      <c r="C22" s="7">
        <v>144</v>
      </c>
      <c r="D22" s="7">
        <v>5.32</v>
      </c>
    </row>
    <row r="23" spans="1:22" x14ac:dyDescent="0.2">
      <c r="A23" t="s">
        <v>75</v>
      </c>
      <c r="B23" s="7" t="s">
        <v>489</v>
      </c>
      <c r="C23" s="7">
        <v>168</v>
      </c>
      <c r="D23" s="7">
        <v>6.08</v>
      </c>
    </row>
    <row r="24" spans="1:22" x14ac:dyDescent="0.2">
      <c r="A24" t="s">
        <v>75</v>
      </c>
      <c r="B24" s="7" t="s">
        <v>491</v>
      </c>
      <c r="C24" s="7">
        <v>168</v>
      </c>
      <c r="D24" s="7">
        <v>6.56</v>
      </c>
    </row>
    <row r="25" spans="1:22" x14ac:dyDescent="0.2">
      <c r="A25" t="s">
        <v>75</v>
      </c>
      <c r="B25" s="7" t="s">
        <v>492</v>
      </c>
      <c r="C25" s="7">
        <v>168</v>
      </c>
      <c r="D25" s="7">
        <v>6.26</v>
      </c>
    </row>
    <row r="26" spans="1:22" x14ac:dyDescent="0.2">
      <c r="A26" t="s">
        <v>75</v>
      </c>
      <c r="B26" s="7" t="s">
        <v>489</v>
      </c>
      <c r="C26" s="7">
        <v>192</v>
      </c>
      <c r="D26" s="7">
        <v>6.38</v>
      </c>
      <c r="E26">
        <v>5.95</v>
      </c>
      <c r="F26" s="7">
        <v>56.581000000000003</v>
      </c>
      <c r="G26" s="8">
        <v>6.0082407919999996</v>
      </c>
      <c r="H26" s="8">
        <v>0</v>
      </c>
      <c r="I26" s="8">
        <v>8.0534390000000008E-3</v>
      </c>
      <c r="J26" s="8">
        <v>0.39224379100000001</v>
      </c>
      <c r="K26" s="8">
        <v>0</v>
      </c>
      <c r="L26" s="8">
        <v>0</v>
      </c>
      <c r="M26" s="8">
        <v>0</v>
      </c>
      <c r="N26" s="8">
        <v>1.933470424</v>
      </c>
      <c r="O26" s="8">
        <v>0</v>
      </c>
      <c r="P26" s="8">
        <v>3.828844245</v>
      </c>
      <c r="Q26">
        <f>G26+(2*J26)+(3*N26)+(4*P26)</f>
        <v>27.908516626000001</v>
      </c>
      <c r="R26">
        <f>S26+U26</f>
        <v>36.307854351687389</v>
      </c>
      <c r="S26">
        <f>$F$2-F26</f>
        <v>1.8939999999999984</v>
      </c>
      <c r="T26" s="6">
        <f>(3.1/(180.16))*1000</f>
        <v>17.206927175843695</v>
      </c>
      <c r="U26">
        <f>T26*2</f>
        <v>34.413854351687391</v>
      </c>
    </row>
    <row r="27" spans="1:22" x14ac:dyDescent="0.2">
      <c r="A27" t="s">
        <v>75</v>
      </c>
      <c r="B27" s="7" t="s">
        <v>491</v>
      </c>
      <c r="C27" s="7">
        <v>192</v>
      </c>
      <c r="D27" s="7">
        <v>6.88</v>
      </c>
      <c r="E27">
        <v>5.99</v>
      </c>
      <c r="F27" s="7">
        <v>68.182000000000002</v>
      </c>
      <c r="G27" s="8">
        <v>8.6467357749999998</v>
      </c>
      <c r="H27" s="8">
        <v>0</v>
      </c>
      <c r="I27" s="8">
        <v>0</v>
      </c>
      <c r="J27" s="8">
        <v>0.35598814899999998</v>
      </c>
      <c r="K27" s="8">
        <v>0</v>
      </c>
      <c r="L27" s="8">
        <v>0</v>
      </c>
      <c r="M27" s="8">
        <v>0</v>
      </c>
      <c r="N27" s="8">
        <v>1.7084560550000001</v>
      </c>
      <c r="O27" s="8">
        <v>0</v>
      </c>
      <c r="P27" s="8">
        <v>3.9795625380000001</v>
      </c>
      <c r="Q27">
        <f>G27+(2*J27)+(3*N27)+(4*P27)</f>
        <v>30.402330390000003</v>
      </c>
      <c r="R27">
        <f>S27+U27</f>
        <v>30.257476021314389</v>
      </c>
      <c r="S27">
        <f>$F$2-F27</f>
        <v>-9.7070000000000007</v>
      </c>
      <c r="T27" s="6">
        <f>(3.6/(180.16))*1000</f>
        <v>19.982238010657195</v>
      </c>
      <c r="U27">
        <f>T27*2</f>
        <v>39.96447602131439</v>
      </c>
    </row>
    <row r="28" spans="1:22" x14ac:dyDescent="0.2">
      <c r="A28" t="s">
        <v>75</v>
      </c>
      <c r="B28" s="7" t="s">
        <v>492</v>
      </c>
      <c r="C28" s="7">
        <v>192</v>
      </c>
      <c r="D28" s="7">
        <v>7.14</v>
      </c>
      <c r="E28">
        <v>6.07</v>
      </c>
      <c r="F28" s="7">
        <v>42.377000000000002</v>
      </c>
      <c r="G28" s="8">
        <v>16.662252209999998</v>
      </c>
      <c r="H28" s="8">
        <v>0</v>
      </c>
      <c r="I28" s="8">
        <v>1.7189435999999999E-2</v>
      </c>
      <c r="J28" s="8">
        <v>0.82130647099999998</v>
      </c>
      <c r="K28" s="8">
        <v>0</v>
      </c>
      <c r="L28" s="8">
        <v>0</v>
      </c>
      <c r="M28" s="8">
        <v>0</v>
      </c>
      <c r="N28" s="8">
        <v>1.9191457890000001</v>
      </c>
      <c r="O28" s="8">
        <v>0</v>
      </c>
      <c r="P28" s="8">
        <v>3.7892492180000001</v>
      </c>
      <c r="Q28">
        <f>G28+(2*J28)+(3*N28)+(4*P28)</f>
        <v>39.219299391</v>
      </c>
      <c r="R28">
        <f t="shared" ref="R28" si="0">S28+U28</f>
        <v>37.190362344582596</v>
      </c>
      <c r="S28">
        <f>$F$2-F28</f>
        <v>16.097999999999999</v>
      </c>
      <c r="T28" s="6">
        <f>(1.9/(180.16))*1000</f>
        <v>10.546181172291297</v>
      </c>
      <c r="U28">
        <f t="shared" ref="U28" si="1">T28*2</f>
        <v>21.092362344582593</v>
      </c>
    </row>
    <row r="29" spans="1:22" x14ac:dyDescent="0.2">
      <c r="A29" t="s">
        <v>524</v>
      </c>
      <c r="B29" s="7" t="s">
        <v>489</v>
      </c>
      <c r="C29" s="7">
        <v>0</v>
      </c>
      <c r="D29" s="7">
        <v>1.28</v>
      </c>
      <c r="E29">
        <v>5.07</v>
      </c>
      <c r="F29" s="7">
        <v>58.475000000000001</v>
      </c>
      <c r="G29" s="8">
        <v>5.0859655760000004</v>
      </c>
      <c r="H29" s="8">
        <v>0</v>
      </c>
      <c r="I29" s="8">
        <v>6.4428539999999996E-3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V29" t="s">
        <v>523</v>
      </c>
    </row>
    <row r="30" spans="1:22" x14ac:dyDescent="0.2">
      <c r="A30" t="s">
        <v>524</v>
      </c>
      <c r="B30" s="7" t="s">
        <v>491</v>
      </c>
      <c r="C30" s="7">
        <v>0</v>
      </c>
      <c r="D30" s="7">
        <v>1.42</v>
      </c>
      <c r="E30">
        <v>5.07</v>
      </c>
      <c r="F30" s="7">
        <v>58.475000000000001</v>
      </c>
      <c r="G30" s="8">
        <v>5.0859655760000004</v>
      </c>
      <c r="H30" s="8">
        <v>0</v>
      </c>
      <c r="I30" s="8">
        <v>6.4428539999999996E-3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V30" t="s">
        <v>523</v>
      </c>
    </row>
    <row r="31" spans="1:22" x14ac:dyDescent="0.2">
      <c r="A31" t="s">
        <v>524</v>
      </c>
      <c r="B31" s="7" t="s">
        <v>492</v>
      </c>
      <c r="C31" s="7">
        <v>0</v>
      </c>
      <c r="D31" s="7">
        <v>1.36</v>
      </c>
      <c r="E31">
        <v>5.07</v>
      </c>
      <c r="F31" s="7">
        <v>58.475000000000001</v>
      </c>
      <c r="G31" s="8">
        <v>5.0859655760000004</v>
      </c>
      <c r="H31" s="8">
        <v>0</v>
      </c>
      <c r="I31" s="8">
        <v>6.4428539999999996E-3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V31" t="s">
        <v>523</v>
      </c>
    </row>
    <row r="32" spans="1:22" x14ac:dyDescent="0.2">
      <c r="A32" t="s">
        <v>524</v>
      </c>
      <c r="B32" s="7" t="s">
        <v>489</v>
      </c>
      <c r="C32" s="7">
        <v>24</v>
      </c>
      <c r="D32" s="7">
        <v>1.04</v>
      </c>
    </row>
    <row r="33" spans="1:4" x14ac:dyDescent="0.2">
      <c r="A33" t="s">
        <v>524</v>
      </c>
      <c r="B33" s="7" t="s">
        <v>491</v>
      </c>
      <c r="C33" s="7">
        <v>24</v>
      </c>
      <c r="D33" s="7">
        <v>1.28</v>
      </c>
    </row>
    <row r="34" spans="1:4" x14ac:dyDescent="0.2">
      <c r="A34" t="s">
        <v>524</v>
      </c>
      <c r="B34" s="7" t="s">
        <v>492</v>
      </c>
      <c r="C34" s="7">
        <v>24</v>
      </c>
      <c r="D34" s="7">
        <v>1.2</v>
      </c>
    </row>
    <row r="35" spans="1:4" x14ac:dyDescent="0.2">
      <c r="A35" t="s">
        <v>524</v>
      </c>
      <c r="B35" s="7" t="s">
        <v>489</v>
      </c>
      <c r="C35" s="7">
        <v>48</v>
      </c>
      <c r="D35" s="7">
        <v>0.98</v>
      </c>
    </row>
    <row r="36" spans="1:4" x14ac:dyDescent="0.2">
      <c r="A36" t="s">
        <v>524</v>
      </c>
      <c r="B36" s="7" t="s">
        <v>491</v>
      </c>
      <c r="C36" s="7">
        <v>48</v>
      </c>
      <c r="D36" s="7">
        <v>1.1599999999999999</v>
      </c>
    </row>
    <row r="37" spans="1:4" x14ac:dyDescent="0.2">
      <c r="A37" t="s">
        <v>524</v>
      </c>
      <c r="B37" s="7" t="s">
        <v>492</v>
      </c>
      <c r="C37" s="7">
        <v>48</v>
      </c>
      <c r="D37" s="7">
        <v>1.1000000000000001</v>
      </c>
    </row>
    <row r="38" spans="1:4" x14ac:dyDescent="0.2">
      <c r="A38" t="s">
        <v>524</v>
      </c>
      <c r="B38" s="7" t="s">
        <v>489</v>
      </c>
      <c r="C38" s="7">
        <v>72</v>
      </c>
      <c r="D38" s="7">
        <v>0.8</v>
      </c>
    </row>
    <row r="39" spans="1:4" x14ac:dyDescent="0.2">
      <c r="A39" t="s">
        <v>524</v>
      </c>
      <c r="B39" s="7" t="s">
        <v>491</v>
      </c>
      <c r="C39" s="7">
        <v>72</v>
      </c>
      <c r="D39" s="7">
        <v>1</v>
      </c>
    </row>
    <row r="40" spans="1:4" x14ac:dyDescent="0.2">
      <c r="A40" t="s">
        <v>524</v>
      </c>
      <c r="B40" s="7" t="s">
        <v>492</v>
      </c>
      <c r="C40" s="7">
        <v>72</v>
      </c>
      <c r="D40" s="7">
        <v>0.94</v>
      </c>
    </row>
    <row r="41" spans="1:4" x14ac:dyDescent="0.2">
      <c r="A41" t="s">
        <v>524</v>
      </c>
      <c r="B41" s="7" t="s">
        <v>489</v>
      </c>
      <c r="C41" s="7">
        <v>96</v>
      </c>
      <c r="D41" s="7">
        <v>0.84</v>
      </c>
    </row>
    <row r="42" spans="1:4" x14ac:dyDescent="0.2">
      <c r="A42" t="s">
        <v>524</v>
      </c>
      <c r="B42" s="7" t="s">
        <v>491</v>
      </c>
      <c r="C42" s="7">
        <v>96</v>
      </c>
      <c r="D42" s="7">
        <v>0.94</v>
      </c>
    </row>
    <row r="43" spans="1:4" x14ac:dyDescent="0.2">
      <c r="A43" t="s">
        <v>524</v>
      </c>
      <c r="B43" s="7" t="s">
        <v>492</v>
      </c>
      <c r="C43" s="7">
        <v>96</v>
      </c>
      <c r="D43" s="7">
        <v>0.88</v>
      </c>
    </row>
    <row r="44" spans="1:4" x14ac:dyDescent="0.2">
      <c r="A44" t="s">
        <v>524</v>
      </c>
      <c r="B44" s="7" t="s">
        <v>489</v>
      </c>
      <c r="C44" s="7">
        <v>120</v>
      </c>
      <c r="D44" s="7">
        <v>0.4</v>
      </c>
    </row>
    <row r="45" spans="1:4" x14ac:dyDescent="0.2">
      <c r="A45" t="s">
        <v>524</v>
      </c>
      <c r="B45" s="7" t="s">
        <v>491</v>
      </c>
      <c r="C45" s="7">
        <v>120</v>
      </c>
      <c r="D45" s="7">
        <v>0.6</v>
      </c>
    </row>
    <row r="46" spans="1:4" x14ac:dyDescent="0.2">
      <c r="A46" t="s">
        <v>524</v>
      </c>
      <c r="B46" s="7" t="s">
        <v>492</v>
      </c>
      <c r="C46" s="7">
        <v>120</v>
      </c>
      <c r="D46" s="7">
        <v>0.62</v>
      </c>
    </row>
    <row r="47" spans="1:4" x14ac:dyDescent="0.2">
      <c r="A47" t="s">
        <v>524</v>
      </c>
      <c r="B47" s="7" t="s">
        <v>489</v>
      </c>
      <c r="C47" s="7">
        <v>144</v>
      </c>
      <c r="D47" s="7">
        <v>0.46</v>
      </c>
    </row>
    <row r="48" spans="1:4" x14ac:dyDescent="0.2">
      <c r="A48" t="s">
        <v>524</v>
      </c>
      <c r="B48" s="7" t="s">
        <v>491</v>
      </c>
      <c r="C48" s="7">
        <v>144</v>
      </c>
      <c r="D48" s="7">
        <v>0.66</v>
      </c>
    </row>
    <row r="49" spans="1:21" x14ac:dyDescent="0.2">
      <c r="A49" t="s">
        <v>524</v>
      </c>
      <c r="B49" s="7" t="s">
        <v>492</v>
      </c>
      <c r="C49" s="7">
        <v>144</v>
      </c>
      <c r="D49" s="7">
        <v>0.62</v>
      </c>
    </row>
    <row r="50" spans="1:21" x14ac:dyDescent="0.2">
      <c r="A50" t="s">
        <v>524</v>
      </c>
      <c r="B50" s="7" t="s">
        <v>489</v>
      </c>
      <c r="C50" s="7">
        <v>168</v>
      </c>
      <c r="D50" s="7">
        <v>0.54</v>
      </c>
    </row>
    <row r="51" spans="1:21" x14ac:dyDescent="0.2">
      <c r="A51" t="s">
        <v>524</v>
      </c>
      <c r="B51" s="7" t="s">
        <v>491</v>
      </c>
      <c r="C51" s="7">
        <v>168</v>
      </c>
      <c r="D51" s="7">
        <v>0.7</v>
      </c>
    </row>
    <row r="52" spans="1:21" x14ac:dyDescent="0.2">
      <c r="A52" t="s">
        <v>524</v>
      </c>
      <c r="B52" s="7" t="s">
        <v>492</v>
      </c>
      <c r="C52" s="7">
        <v>168</v>
      </c>
      <c r="D52" s="7">
        <v>0.6</v>
      </c>
    </row>
    <row r="53" spans="1:21" x14ac:dyDescent="0.2">
      <c r="A53" t="s">
        <v>524</v>
      </c>
      <c r="B53" s="7" t="s">
        <v>489</v>
      </c>
      <c r="C53" s="7">
        <v>192</v>
      </c>
      <c r="D53" s="7">
        <v>0.38</v>
      </c>
      <c r="E53" s="6">
        <v>5.13</v>
      </c>
      <c r="F53" s="7">
        <v>99.668999999999997</v>
      </c>
      <c r="G53" s="8">
        <v>1.095099255</v>
      </c>
      <c r="H53" s="8">
        <v>0</v>
      </c>
      <c r="I53" s="8">
        <v>9.7466889999999994E-3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>
        <f>G53+(2*J53)+(3*N53)+(4*P53)</f>
        <v>1.095099255</v>
      </c>
      <c r="R53" t="s">
        <v>525</v>
      </c>
      <c r="S53">
        <f>F53-$F$2</f>
        <v>41.193999999999996</v>
      </c>
      <c r="T53" s="6">
        <f>(2.5/(180.16))*1000</f>
        <v>13.876554174067495</v>
      </c>
      <c r="U53">
        <f>T53*2</f>
        <v>27.75310834813499</v>
      </c>
    </row>
    <row r="54" spans="1:21" x14ac:dyDescent="0.2">
      <c r="A54" t="s">
        <v>524</v>
      </c>
      <c r="B54" s="7" t="s">
        <v>491</v>
      </c>
      <c r="C54" s="7">
        <v>192</v>
      </c>
      <c r="D54" s="7">
        <v>0.48</v>
      </c>
      <c r="E54" s="6">
        <v>5.12</v>
      </c>
      <c r="F54" s="7">
        <v>90.198999999999998</v>
      </c>
      <c r="G54" s="8">
        <v>6.5524225749999996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>
        <f>G54+(2*J54)+(3*N54)+(4*P54)</f>
        <v>6.5524225749999996</v>
      </c>
      <c r="R54" t="s">
        <v>525</v>
      </c>
      <c r="S54">
        <f>F54-$F$2</f>
        <v>31.723999999999997</v>
      </c>
      <c r="T54" s="6">
        <f>(2.9/(180.16))*1000</f>
        <v>16.096802841918297</v>
      </c>
      <c r="U54">
        <f t="shared" ref="U54:U55" si="2">T54*2</f>
        <v>32.193605683836594</v>
      </c>
    </row>
    <row r="55" spans="1:21" x14ac:dyDescent="0.2">
      <c r="A55" t="s">
        <v>524</v>
      </c>
      <c r="B55" s="7" t="s">
        <v>492</v>
      </c>
      <c r="C55" s="7">
        <v>192</v>
      </c>
      <c r="D55" s="7">
        <v>0.42</v>
      </c>
      <c r="E55" s="6">
        <v>5.1100000000000003</v>
      </c>
      <c r="F55" s="7">
        <v>90.671999999999997</v>
      </c>
      <c r="G55" s="8">
        <v>6.323161443</v>
      </c>
      <c r="H55" s="8">
        <v>0</v>
      </c>
      <c r="I55" s="8">
        <v>4.0638251E-2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>
        <f>G55+(2*J55)+(3*N55)+(4*P55)</f>
        <v>6.323161443</v>
      </c>
      <c r="R55" t="s">
        <v>525</v>
      </c>
      <c r="S55">
        <f>F55-$F$2</f>
        <v>32.196999999999996</v>
      </c>
      <c r="T55" s="6">
        <f>(3.3/(180.16))*1000</f>
        <v>18.317051509769094</v>
      </c>
      <c r="U55">
        <f t="shared" si="2"/>
        <v>36.634103019538188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metagenomes</vt:lpstr>
      <vt:lpstr>foodwaste</vt:lpstr>
      <vt:lpstr>dairy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Lindner</dc:creator>
  <cp:lastModifiedBy>Blake Lindner</cp:lastModifiedBy>
  <dcterms:created xsi:type="dcterms:W3CDTF">2026-01-23T20:46:00Z</dcterms:created>
  <dcterms:modified xsi:type="dcterms:W3CDTF">2026-10-24T23:17:48Z</dcterms:modified>
</cp:coreProperties>
</file>